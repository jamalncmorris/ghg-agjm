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Representatives" sheetId="1" r:id="rId1"/>
  </sheets>
  <calcPr calcId="124519" fullCalcOnLoad="1"/>
</workbook>
</file>

<file path=xl/sharedStrings.xml><?xml version="1.0" encoding="utf-8"?>
<sst xmlns="http://schemas.openxmlformats.org/spreadsheetml/2006/main" count="1622" uniqueCount="548">
  <si>
    <t>Name</t>
  </si>
  <si>
    <t>Phone</t>
  </si>
  <si>
    <t>Role</t>
  </si>
  <si>
    <t>Link</t>
  </si>
  <si>
    <t>Location</t>
  </si>
  <si>
    <t>Address</t>
  </si>
  <si>
    <t>Location Phone</t>
  </si>
  <si>
    <t>Ms Sue Caloe</t>
  </si>
  <si>
    <t>Mrs Jane Novas-Morell</t>
  </si>
  <si>
    <t>Mr Imteyaz Ali</t>
  </si>
  <si>
    <t>Mr Peter Cunliffe</t>
  </si>
  <si>
    <t>Mr Mohammed Hafejee</t>
  </si>
  <si>
    <t>Mr David Darlington</t>
  </si>
  <si>
    <t>Mr Aaqib Raheem</t>
  </si>
  <si>
    <t>Mr Mohamed Patel</t>
  </si>
  <si>
    <t>Mrs Heather Bluer</t>
  </si>
  <si>
    <t>Mr Rob Taberner</t>
  </si>
  <si>
    <t>Mr Michael Lowe</t>
  </si>
  <si>
    <t>Ms Clare Newton</t>
  </si>
  <si>
    <t>Mr Alexander Rostron</t>
  </si>
  <si>
    <t>Mr Imran Rashid</t>
  </si>
  <si>
    <t>Mr Talha Javed</t>
  </si>
  <si>
    <t>Mr David Robb</t>
  </si>
  <si>
    <t>Mr Rauf Khan</t>
  </si>
  <si>
    <t>Mr Anton Patton</t>
  </si>
  <si>
    <t>Mr Noel Griffiths</t>
  </si>
  <si>
    <t>Mr Andrew Myers LL.B Hons</t>
  </si>
  <si>
    <t>Mr Frank Smith</t>
  </si>
  <si>
    <t>Miss Abigail Henry</t>
  </si>
  <si>
    <t>Mr khurram mughal</t>
  </si>
  <si>
    <t>Mr Steven Ringrose</t>
  </si>
  <si>
    <t>Mr Simon Drugan</t>
  </si>
  <si>
    <t>Mrs Gail Hadfield-Grainger</t>
  </si>
  <si>
    <t>Mr Kevin Whyte (eve &amp; we)</t>
  </si>
  <si>
    <t>Mr Khalid Mahmood</t>
  </si>
  <si>
    <t>Mr Jordan James</t>
  </si>
  <si>
    <t>Mr Mathew Smith</t>
  </si>
  <si>
    <t>Miss Sarah Prior</t>
  </si>
  <si>
    <t>Mr Phillip Barlow</t>
  </si>
  <si>
    <t>Mr Thomas Graddon</t>
  </si>
  <si>
    <t>Mr Anthony Grime</t>
  </si>
  <si>
    <t>Mr PAUL BAMBER</t>
  </si>
  <si>
    <t>Mr Waqas Hussain</t>
  </si>
  <si>
    <t>Mrs Ella Chorlton</t>
  </si>
  <si>
    <t>Mr Maqbool Malik</t>
  </si>
  <si>
    <t>Mr Azhar Hussain</t>
  </si>
  <si>
    <t>Miss Celia OKeefe</t>
  </si>
  <si>
    <t>Mr Alex Halliwell</t>
  </si>
  <si>
    <t>Mr Bash Khan</t>
  </si>
  <si>
    <t>Mr Andrew Cowan</t>
  </si>
  <si>
    <t>Mr Patrick Duffy</t>
  </si>
  <si>
    <t>Miss Emaan Ahmed Shah</t>
  </si>
  <si>
    <t>Mr Jake Darbandi</t>
  </si>
  <si>
    <t>Mr Chirag Ahmed</t>
  </si>
  <si>
    <t>Ms Pippa Mulcahy</t>
  </si>
  <si>
    <t>Mr Michael Farrell</t>
  </si>
  <si>
    <t>Miss EMILY CALMAN</t>
  </si>
  <si>
    <t>Mr Osman Munir</t>
  </si>
  <si>
    <t>Mr Ilyas Mohmed</t>
  </si>
  <si>
    <t>Mr Mohammad Omar</t>
  </si>
  <si>
    <t>Mr Zabair Afzal</t>
  </si>
  <si>
    <t>Mrs Gemma Collier Pilkington</t>
  </si>
  <si>
    <t>Mr Rizwan Khan</t>
  </si>
  <si>
    <t>Mr Ghafar Khan</t>
  </si>
  <si>
    <t>Mr Danyal Ahmed</t>
  </si>
  <si>
    <t>Mr Graham Wilkinson</t>
  </si>
  <si>
    <t>Miss Halima Riaz</t>
  </si>
  <si>
    <t>Mr Taz islam</t>
  </si>
  <si>
    <t>Miss Leona Brown</t>
  </si>
  <si>
    <t>Mrs V Kopczak</t>
  </si>
  <si>
    <t>Miss Yasmin Aslam</t>
  </si>
  <si>
    <t>Mr Ian Birch</t>
  </si>
  <si>
    <t>Mr Karl Benson</t>
  </si>
  <si>
    <t>Ms Krystyna Doroszkiewicz</t>
  </si>
  <si>
    <t>Mr Rumahn Hanna</t>
  </si>
  <si>
    <t>Miss Lucy OGara</t>
  </si>
  <si>
    <t>Mr Ruhul Amin</t>
  </si>
  <si>
    <t>Mr Ammer Tufail</t>
  </si>
  <si>
    <t>Mr Rodrigue Landu</t>
  </si>
  <si>
    <t>Mr Sheik Amin</t>
  </si>
  <si>
    <t>Mr Ameer Hamza</t>
  </si>
  <si>
    <t>Mr Neil Grunfeld</t>
  </si>
  <si>
    <t>Miss Kiran Hussain</t>
  </si>
  <si>
    <t>Mr Bash Bhatti</t>
  </si>
  <si>
    <t>Mr SERAJ KHAN</t>
  </si>
  <si>
    <t>Mr David Reynolds</t>
  </si>
  <si>
    <t>Mr Andrew Gilmore</t>
  </si>
  <si>
    <t>Mr Paul Shepherd</t>
  </si>
  <si>
    <t>Mr Robert Mann</t>
  </si>
  <si>
    <t>Mr Mark Dutton</t>
  </si>
  <si>
    <t>Miss Patrycja Szymanska</t>
  </si>
  <si>
    <t>Miss Melanie Winstanley</t>
  </si>
  <si>
    <t>Mr PAUL MORRiSON</t>
  </si>
  <si>
    <t>Miss Tammy Greenwood</t>
  </si>
  <si>
    <t>Mr Chris Woodcock</t>
  </si>
  <si>
    <t>Mr Jon Sidebotham</t>
  </si>
  <si>
    <t>Mr HARRY BOODHOO</t>
  </si>
  <si>
    <t>Mr Gareth Howard</t>
  </si>
  <si>
    <t>Miss Vicky Gorey</t>
  </si>
  <si>
    <t>Mr Ian Robinson</t>
  </si>
  <si>
    <t>Mr Mark Carrington</t>
  </si>
  <si>
    <t>Mr Mumtaz Chaudry</t>
  </si>
  <si>
    <t>Mrs Martina Brown</t>
  </si>
  <si>
    <t>Mrs Tayaba Hussain</t>
  </si>
  <si>
    <t>Mr Saghar Dar</t>
  </si>
  <si>
    <t>Miss Chloe Durose</t>
  </si>
  <si>
    <t>Mr Michael Alexander</t>
  </si>
  <si>
    <t>Miss Jessica Wilson</t>
  </si>
  <si>
    <t>Mr Imran Ali</t>
  </si>
  <si>
    <t>Miss Jodie Ireland</t>
  </si>
  <si>
    <t>Mr Michael Harrison Russell</t>
  </si>
  <si>
    <t>Mrs Rachel Richardson nee Cunningham</t>
  </si>
  <si>
    <t>Mr John Mitchell</t>
  </si>
  <si>
    <t>Miss Marvi Bijarani</t>
  </si>
  <si>
    <t>Mrs Carol Cochrane</t>
  </si>
  <si>
    <t>Mr Chris Joseph</t>
  </si>
  <si>
    <t>Mrs Cheryl Wozny</t>
  </si>
  <si>
    <t>Mr Damian Feldman</t>
  </si>
  <si>
    <t>Mrs Atifa Ahmed</t>
  </si>
  <si>
    <t>Mr Vic Wozny</t>
  </si>
  <si>
    <t>Mr Asfand Ali</t>
  </si>
  <si>
    <t>Mr KIERAN HENRY</t>
  </si>
  <si>
    <t>Mr Waseem Chowdhary</t>
  </si>
  <si>
    <t>Mr Terry Maddocks</t>
  </si>
  <si>
    <t>Mr Vaqas Latif</t>
  </si>
  <si>
    <t>Mr Guy Anderson</t>
  </si>
  <si>
    <t>Miss Samantha Lang</t>
  </si>
  <si>
    <t>Mr Adnan Hanif</t>
  </si>
  <si>
    <t>Mr Hasan Ahmed</t>
  </si>
  <si>
    <t>Mr Paul Coyne</t>
  </si>
  <si>
    <t>Mr Zia Yasin</t>
  </si>
  <si>
    <t>Miss Hannah Gilford</t>
  </si>
  <si>
    <t>Mr Matloob Ahmed</t>
  </si>
  <si>
    <t>Mr Irfan Akhtar</t>
  </si>
  <si>
    <t>Miss Helen Wrigg</t>
  </si>
  <si>
    <t>Mr Michael Healey</t>
  </si>
  <si>
    <t>Mr Rajiv Chopra</t>
  </si>
  <si>
    <t>Miss Estelle Parkhouse</t>
  </si>
  <si>
    <t>Mr Peter Eccles</t>
  </si>
  <si>
    <t>Mr Jason Holt</t>
  </si>
  <si>
    <t>Mr Stephen Langton</t>
  </si>
  <si>
    <t>Ms Tracy Kofi</t>
  </si>
  <si>
    <t>Mr Thomas Gallagher</t>
  </si>
  <si>
    <t>Mr Peter Darlington</t>
  </si>
  <si>
    <t>Miss June Stanley</t>
  </si>
  <si>
    <t>Miss Wendy Eckhardt (eve &amp; we)</t>
  </si>
  <si>
    <t>Miss Sophie Hall</t>
  </si>
  <si>
    <t>Mr Paul Dalzell</t>
  </si>
  <si>
    <t>Ms Eileen Chisnall</t>
  </si>
  <si>
    <t>Mr Raymond Beckwith</t>
  </si>
  <si>
    <t>Mr Gareth Blair</t>
  </si>
  <si>
    <t>Mr Patrick OHanlon</t>
  </si>
  <si>
    <t>Mr Paul Gallagher (eve &amp; we)</t>
  </si>
  <si>
    <t>Mr Steve Rollason</t>
  </si>
  <si>
    <t>Mr Peter Haney</t>
  </si>
  <si>
    <t>Ms Jiro Asafa</t>
  </si>
  <si>
    <t>Miss Sarah Taylor</t>
  </si>
  <si>
    <t>Ms Jeanne Colwell</t>
  </si>
  <si>
    <t>Miss Sehmera Battul</t>
  </si>
  <si>
    <t>Mr Aman Mahroof</t>
  </si>
  <si>
    <t>Mr Fasar Mahmood</t>
  </si>
  <si>
    <t>Mr Mohammad Khan</t>
  </si>
  <si>
    <t>Miss rachael mounsey</t>
  </si>
  <si>
    <t>Miss Ushna Ilyas</t>
  </si>
  <si>
    <t>Mr Sohaib Hussain</t>
  </si>
  <si>
    <t>Mr Hamzah Aqeel</t>
  </si>
  <si>
    <t>Mr Majid Malik</t>
  </si>
  <si>
    <t>Mr Mark Bone</t>
  </si>
  <si>
    <t>Mr Steven Halsall</t>
  </si>
  <si>
    <t>Mr Mohammed Abid (Huddesfield)</t>
  </si>
  <si>
    <t>Miss Becky Antcliffe</t>
  </si>
  <si>
    <t>Miss Elaine Masterson</t>
  </si>
  <si>
    <t>Mr Steven Higgins</t>
  </si>
  <si>
    <t>Miss SARAH WILKINSON</t>
  </si>
  <si>
    <t>Mr Mark Grundy</t>
  </si>
  <si>
    <t>Mr Andrew Blennerhassett</t>
  </si>
  <si>
    <t>Mr Mohammed Shafiq</t>
  </si>
  <si>
    <t>Miss Rebecca Boswell</t>
  </si>
  <si>
    <t>Mr Mohammed Ayub</t>
  </si>
  <si>
    <t>Mr Richard Brace</t>
  </si>
  <si>
    <t>Ms Abigail Rolling</t>
  </si>
  <si>
    <t>Mr Adam Whittaker</t>
  </si>
  <si>
    <t>Mr Lawrence BadejoAdegbenga</t>
  </si>
  <si>
    <t>Ms Lady Sheila Davenport</t>
  </si>
  <si>
    <t>Mr Rangzab Mohammed</t>
  </si>
  <si>
    <t>Miss Maryam Razzaq</t>
  </si>
  <si>
    <t>Miss Farayal Kaser</t>
  </si>
  <si>
    <t>Miss Mariam Khan</t>
  </si>
  <si>
    <t>Miss Ghazal Jahangirfard</t>
  </si>
  <si>
    <t>Mr Michael Muldoon</t>
  </si>
  <si>
    <t>Mr Amjid Javaid</t>
  </si>
  <si>
    <t>Mr Umar Zaheer</t>
  </si>
  <si>
    <t>Mr Nazish Azam</t>
  </si>
  <si>
    <t>Mr Tariq Majid</t>
  </si>
  <si>
    <t>Mr Aman Ayub</t>
  </si>
  <si>
    <t>Mr ashfaq ashraf</t>
  </si>
  <si>
    <t>Miss Afia Riaz</t>
  </si>
  <si>
    <t>Mr Robert Beech</t>
  </si>
  <si>
    <t>Mr hamzah qureshi</t>
  </si>
  <si>
    <t>Miss sadia khan</t>
  </si>
  <si>
    <t>Mr Syed Misam Bukhari</t>
  </si>
  <si>
    <t>Mr Hamran Zahid</t>
  </si>
  <si>
    <t>Mr Zac Ayub</t>
  </si>
  <si>
    <t>Mr Andrew Smith</t>
  </si>
  <si>
    <t>Miss Kiran Jabeen</t>
  </si>
  <si>
    <t>Miss Madeeha Mahmood</t>
  </si>
  <si>
    <t>Mr Denver Sherratt</t>
  </si>
  <si>
    <t>Mr Balaal Hussain Khan</t>
  </si>
  <si>
    <t>Mr Mohammed Inwar-ul-haque</t>
  </si>
  <si>
    <t>Mr Aziz Khan</t>
  </si>
  <si>
    <t>Mr Abdul Ahmed</t>
  </si>
  <si>
    <t>Mr Ibrar Hussain Khan</t>
  </si>
  <si>
    <t>Mr Farayal Kaser</t>
  </si>
  <si>
    <t>Mr Mohammed Usman Iqbal</t>
  </si>
  <si>
    <t>Mr Abdul Mohammed Muttalib</t>
  </si>
  <si>
    <t>Mr Jabran Hussain</t>
  </si>
  <si>
    <t>Mr Muhammad Umar Malik</t>
  </si>
  <si>
    <t>Ms Anuf Ajaib</t>
  </si>
  <si>
    <t>Mr Amjad Hasan</t>
  </si>
  <si>
    <t>Ms Sheila Davenport</t>
  </si>
  <si>
    <t>Mr Riyaz Shaikh</t>
  </si>
  <si>
    <t>Mr Steven Kaye</t>
  </si>
  <si>
    <t>Mrs Charlotte Pye</t>
  </si>
  <si>
    <t>Miss Nazia Shabbir</t>
  </si>
  <si>
    <t>Mr Faisal Hussain</t>
  </si>
  <si>
    <t>Mr Dan Mitchell</t>
  </si>
  <si>
    <t>Mr Haroon rashid Umer</t>
  </si>
  <si>
    <t>Mr Hassan Liaqat</t>
  </si>
  <si>
    <t>Mr Khateeb Riaz</t>
  </si>
  <si>
    <t>Miss Sarah Wilkinson</t>
  </si>
  <si>
    <t>Mr ZUBAIR AHMED</t>
  </si>
  <si>
    <t>Mr Zubair Varachhia</t>
  </si>
  <si>
    <t>Mr Zain Alam</t>
  </si>
  <si>
    <t>Mr Callum Starr</t>
  </si>
  <si>
    <t>Ms Tracey Hepworth</t>
  </si>
  <si>
    <t>Mr Stephen Cliffe</t>
  </si>
  <si>
    <t>Mr faisal zia</t>
  </si>
  <si>
    <t>Miss Toni Waterhouse</t>
  </si>
  <si>
    <t>Mr Bradley Farrell</t>
  </si>
  <si>
    <t>Mr Kevin Ripley</t>
  </si>
  <si>
    <t>Miss Holli Spencer Boulton</t>
  </si>
  <si>
    <t>Mr Mohammed Qasim</t>
  </si>
  <si>
    <t>Mrs Emily Price (eve &amp; we)</t>
  </si>
  <si>
    <t>Ms Kate Adams</t>
  </si>
  <si>
    <t>Mr Ghalib Masood</t>
  </si>
  <si>
    <t>Mr Shaid Iqbal</t>
  </si>
  <si>
    <t>Mrs Francesca Mellor</t>
  </si>
  <si>
    <t>Mr Israr Ahmed</t>
  </si>
  <si>
    <t>Mr Usama Patel</t>
  </si>
  <si>
    <t>Mr Ricky Layal</t>
  </si>
  <si>
    <t>Mr Chavez Younas</t>
  </si>
  <si>
    <t>Mr Waseem Ahmed</t>
  </si>
  <si>
    <t>Mrs salma Hussain</t>
  </si>
  <si>
    <t>Mr PATRICK BERNARD</t>
  </si>
  <si>
    <t>Mr Adil Hussain</t>
  </si>
  <si>
    <t>Mr Wakash Waheed</t>
  </si>
  <si>
    <t>Mr Matthew Reynolds</t>
  </si>
  <si>
    <t>Mr Adil Najeeb</t>
  </si>
  <si>
    <t>Mr Shahbaz Choudhary</t>
  </si>
  <si>
    <t>Miss Hazel Filmer</t>
  </si>
  <si>
    <t>Mrs Laura Reynolds (nee Smith)</t>
  </si>
  <si>
    <t>Mrs Lee Piggott</t>
  </si>
  <si>
    <t>Mr Fazal Karim</t>
  </si>
  <si>
    <t>Mr Abdi Mohamed</t>
  </si>
  <si>
    <t>Miss Haleema Riaz</t>
  </si>
  <si>
    <t>Ms Sarah Staniland</t>
  </si>
  <si>
    <t>Mr David Drake</t>
  </si>
  <si>
    <t>Miss Karima Somani</t>
  </si>
  <si>
    <t>Mr Tac Hussain</t>
  </si>
  <si>
    <t>Mr David Ellis</t>
  </si>
  <si>
    <t>Mr Zed Shah</t>
  </si>
  <si>
    <t>Mr Abdul Sattar</t>
  </si>
  <si>
    <t>Miss Tonya Fox</t>
  </si>
  <si>
    <t>Mr Shah Suhail Ahmed</t>
  </si>
  <si>
    <t>Mr Darren Withers</t>
  </si>
  <si>
    <t>Mr Paul Stevenson</t>
  </si>
  <si>
    <t>Mr Darren Wheater</t>
  </si>
  <si>
    <t>Miss Kallie Kennedy</t>
  </si>
  <si>
    <t>Ms Helen White</t>
  </si>
  <si>
    <t>Ms Erna Steele</t>
  </si>
  <si>
    <t>Mr Trevor Ashforth</t>
  </si>
  <si>
    <t>Mr Steven Wilkinson</t>
  </si>
  <si>
    <t>Mrs Claire Gascoyne</t>
  </si>
  <si>
    <t>Mr Steve Griffiths</t>
  </si>
  <si>
    <t>Mr mark harrison</t>
  </si>
  <si>
    <t>Miss Pearl Agius</t>
  </si>
  <si>
    <t>Mr Rob Lowe</t>
  </si>
  <si>
    <t>Ms Julie Topham</t>
  </si>
  <si>
    <t>Mrs Carole Skilton</t>
  </si>
  <si>
    <t>Mr Kevin Dearing</t>
  </si>
  <si>
    <t>Mr Callum Morris</t>
  </si>
  <si>
    <t>Ms Fionnuala Bartley</t>
  </si>
  <si>
    <t>Miss Aisha Faruqi</t>
  </si>
  <si>
    <t>Mr Mark Hemming</t>
  </si>
  <si>
    <t>Mr Stephen Joiner</t>
  </si>
  <si>
    <t>Ms Cheryl Leach</t>
  </si>
  <si>
    <t>Mr James Ashton</t>
  </si>
  <si>
    <t>Miss Lauren Thomas</t>
  </si>
  <si>
    <t>Mr GED HALE</t>
  </si>
  <si>
    <t>Mr Tyrone Yates</t>
  </si>
  <si>
    <t>Miss Nicol Rozic</t>
  </si>
  <si>
    <t>Miss Katie Yates</t>
  </si>
  <si>
    <t>Mr Nigel Shepherd</t>
  </si>
  <si>
    <t>Miss Caroline Downs</t>
  </si>
  <si>
    <t>Ms Tracey Barnes</t>
  </si>
  <si>
    <t>Mr Abdul Aziz Rashid</t>
  </si>
  <si>
    <t>Mr Mohammed Gul Khan</t>
  </si>
  <si>
    <t>Mrs Shahida Begum</t>
  </si>
  <si>
    <t>Miss Yassemin Tilan</t>
  </si>
  <si>
    <t>Mr Harjit Dosanjh</t>
  </si>
  <si>
    <t>Mr Zareen Raja</t>
  </si>
  <si>
    <t>Miss Georgia Taylor</t>
  </si>
  <si>
    <t>Clive Topley</t>
  </si>
  <si>
    <t>Mr Chris Filer</t>
  </si>
  <si>
    <t>Mr Andrew Tilan</t>
  </si>
  <si>
    <t>Mr Khomar Masaud</t>
  </si>
  <si>
    <t>Mr Yaser Taj</t>
  </si>
  <si>
    <t>Mr Sajid Mohammed</t>
  </si>
  <si>
    <t>Mr Sandeep Kumar</t>
  </si>
  <si>
    <t>Mr Steven Meredith</t>
  </si>
  <si>
    <t>Ms Jean Constant</t>
  </si>
  <si>
    <t>Mrs Carla hill</t>
  </si>
  <si>
    <t>Ms Rachael Pugh</t>
  </si>
  <si>
    <t>Mr Chris Stapleton</t>
  </si>
  <si>
    <t>Miss Natalie Osei (eve &amp; we)</t>
  </si>
  <si>
    <t>Miss Enna Rob</t>
  </si>
  <si>
    <t>Miss Abigail Neuchterlien</t>
  </si>
  <si>
    <t>Miss Chelsea Leonard</t>
  </si>
  <si>
    <t>Mr Jamahl Peterkin</t>
  </si>
  <si>
    <t>Mr Numann Haque</t>
  </si>
  <si>
    <t>Miss Anna Sood</t>
  </si>
  <si>
    <t>Miss Suzanne Jovanovic</t>
  </si>
  <si>
    <t>Mrs Jessica Grosvenor</t>
  </si>
  <si>
    <t>Miss Elizabete Rozentale</t>
  </si>
  <si>
    <t>Mrs Anna Smith</t>
  </si>
  <si>
    <t>Mr Kevin Hall</t>
  </si>
  <si>
    <t>Miss Hayley Skinner</t>
  </si>
  <si>
    <t>Mr Ian Dunkin</t>
  </si>
  <si>
    <t>Miss Christine Hodgetts</t>
  </si>
  <si>
    <t>Mr Nagib Ali</t>
  </si>
  <si>
    <t>Mr mohammed ghulfraz khan</t>
  </si>
  <si>
    <t>Miss kavita kaur</t>
  </si>
  <si>
    <t>Miss Whitney Wesson</t>
  </si>
  <si>
    <t>Mr Victor Rumanyika</t>
  </si>
  <si>
    <t>Mrs Harminder Hayre</t>
  </si>
  <si>
    <t>Mr Jon Hullis</t>
  </si>
  <si>
    <t>Mr Rajesh Sood</t>
  </si>
  <si>
    <t>Mr Jamie Porter</t>
  </si>
  <si>
    <t>Ms Balbir Paul</t>
  </si>
  <si>
    <t>Mrs Parveen Woods</t>
  </si>
  <si>
    <t>Mr Richard Bannister</t>
  </si>
  <si>
    <t>Miss Natalie Parboo</t>
  </si>
  <si>
    <t>AGENCY Elite Legal Services</t>
  </si>
  <si>
    <t>Miss Anca-Larisa Belu</t>
  </si>
  <si>
    <t>Mr Ifran Mohammed</t>
  </si>
  <si>
    <t>Mr Joginder Nijjar</t>
  </si>
  <si>
    <t>Mr Glenn Morris</t>
  </si>
  <si>
    <t>Mr Shiva Misra</t>
  </si>
  <si>
    <t>Miss Alexandra Simpson</t>
  </si>
  <si>
    <t>Mr Malcolm Evans</t>
  </si>
  <si>
    <t>Mr Pardeep Sandhu</t>
  </si>
  <si>
    <t>Miss Raman Kachala</t>
  </si>
  <si>
    <t>Mr Inderjit Dubb</t>
  </si>
  <si>
    <t>Mr Shahid Rahman</t>
  </si>
  <si>
    <t>Miss Kathryn Lee</t>
  </si>
  <si>
    <t>Mr Ibrahim Bawab</t>
  </si>
  <si>
    <t>Mr Ben Weldon</t>
  </si>
  <si>
    <t>Mr Dilaor Miah</t>
  </si>
  <si>
    <t>Mr Paul Tubb</t>
  </si>
  <si>
    <t>Mrs JANICE HULL</t>
  </si>
  <si>
    <t>Mrs Ann Dugard</t>
  </si>
  <si>
    <t>Miss Seama Kapoor</t>
  </si>
  <si>
    <t>Miss Someya Isa</t>
  </si>
  <si>
    <t>Mr Chris Keogh</t>
  </si>
  <si>
    <t>Mr Hamza Ali</t>
  </si>
  <si>
    <t>Mr James Williams</t>
  </si>
  <si>
    <t>Mr Seama Kapoor</t>
  </si>
  <si>
    <t>Mr Adnan Hussain</t>
  </si>
  <si>
    <t>Ms Deborah Stevens</t>
  </si>
  <si>
    <t>Mr Peter Hotchkiss</t>
  </si>
  <si>
    <t>Mr Qas Ali</t>
  </si>
  <si>
    <t>Mr Sajid Hussain</t>
  </si>
  <si>
    <t>Mr Adrian Dugard</t>
  </si>
  <si>
    <t>Miss Nadya Ali</t>
  </si>
  <si>
    <t>Mr Harmal Paul</t>
  </si>
  <si>
    <t>Miss Marcia Samuels</t>
  </si>
  <si>
    <t>Miss marcia samuels</t>
  </si>
  <si>
    <t>Mrs Patricia Egan</t>
  </si>
  <si>
    <t>Mr Chris Lawrence</t>
  </si>
  <si>
    <t>Mr Astakhar Ahmed</t>
  </si>
  <si>
    <t>Mr OMAR BANARES</t>
  </si>
  <si>
    <t>Miss Anupa Patel</t>
  </si>
  <si>
    <t>Mr Rajeb Mohammad</t>
  </si>
  <si>
    <t>Mr Ankush Gill</t>
  </si>
  <si>
    <t>Mr Aftab Rashid</t>
  </si>
  <si>
    <t>Mr Raham Malook</t>
  </si>
  <si>
    <t>Ms Christina Richards</t>
  </si>
  <si>
    <t>Mr Amjad Rashid</t>
  </si>
  <si>
    <t>Mr Khurram Rashid</t>
  </si>
  <si>
    <t>Mr Zafar Iqbal Rashid</t>
  </si>
  <si>
    <t>Mr Abir Uddin</t>
  </si>
  <si>
    <t>Mr Paul Green</t>
  </si>
  <si>
    <t>Mr Robert Willoughby</t>
  </si>
  <si>
    <t>Mr Bilaal Hussain</t>
  </si>
  <si>
    <t>Mrs Angela McDonald</t>
  </si>
  <si>
    <t>Miss Panama Begum</t>
  </si>
  <si>
    <t>Mr Stephen Ingram</t>
  </si>
  <si>
    <t>Mr Exdol A. Mitchell</t>
  </si>
  <si>
    <t>Miss Claire Jones</t>
  </si>
  <si>
    <t>Mr Ishaaq Khattak</t>
  </si>
  <si>
    <t>Miss Natasha Haley</t>
  </si>
  <si>
    <t>Mr Matthew Craig</t>
  </si>
  <si>
    <t>Mr Saad Ali</t>
  </si>
  <si>
    <t>Mr Alum Zeb Khan</t>
  </si>
  <si>
    <t>Mr Graham Pressler</t>
  </si>
  <si>
    <t>Mr ZAKEE MUSHTAQ</t>
  </si>
  <si>
    <t>Mr Qasim Khan</t>
  </si>
  <si>
    <t>Miss Leanne Schrouder</t>
  </si>
  <si>
    <t>Miss Areba Farruk</t>
  </si>
  <si>
    <t>Mr Asad Khan</t>
  </si>
  <si>
    <t>Mr Shazad Khattak</t>
  </si>
  <si>
    <t>Mr Mumtaz Mirza</t>
  </si>
  <si>
    <t>Miss sahira yasmin</t>
  </si>
  <si>
    <t>Miss Farnaz Karimi</t>
  </si>
  <si>
    <t>Mr Younis Khan</t>
  </si>
  <si>
    <t>Mr Imtiaz Khattak</t>
  </si>
  <si>
    <t>Mr Zaheer Khan</t>
  </si>
  <si>
    <t>Mr MUSHTAQ KHATTAK</t>
  </si>
  <si>
    <t>Ms Anita Soni</t>
  </si>
  <si>
    <t>Mr Safdar Duran</t>
  </si>
  <si>
    <t>Mr Nabeel Ahmed</t>
  </si>
  <si>
    <t>Mr Majid Hussain</t>
  </si>
  <si>
    <t>Mr Dharmveer Singh</t>
  </si>
  <si>
    <t>Mrs Naseem Ali</t>
  </si>
  <si>
    <t>Mr Robert Charles</t>
  </si>
  <si>
    <t>Mr RICHARD DAVIES</t>
  </si>
  <si>
    <t>Mr Iqbal Khattak</t>
  </si>
  <si>
    <t>Mr Kash Baig</t>
  </si>
  <si>
    <t>Ms Nicky Mondair</t>
  </si>
  <si>
    <t>Mr Christopher Ward</t>
  </si>
  <si>
    <t>Mr Edmund Middleton</t>
  </si>
  <si>
    <t>Mr Arif Riaz</t>
  </si>
  <si>
    <t>Miss Liberty Tindall-Moore</t>
  </si>
  <si>
    <t>Mr Norman Davenport</t>
  </si>
  <si>
    <t>Mr Gary Kay</t>
  </si>
  <si>
    <t>Mr SHAID ASLAM</t>
  </si>
  <si>
    <t>Miss Zara Mirza</t>
  </si>
  <si>
    <t>Mr Ross Tismond</t>
  </si>
  <si>
    <t>Mr Matt Aiello</t>
  </si>
  <si>
    <t>Ms Sana Usmani</t>
  </si>
  <si>
    <t>Mr Paul Watson</t>
  </si>
  <si>
    <t>Mr Berinder Chawla</t>
  </si>
  <si>
    <t>Mrs Karen Johal</t>
  </si>
  <si>
    <t>Mr Ivan Tyrell</t>
  </si>
  <si>
    <t>Mr Ritesh Chauhan</t>
  </si>
  <si>
    <t>Mr Mohammed Raza</t>
  </si>
  <si>
    <t>Mr Jonny Leighton</t>
  </si>
  <si>
    <t>Miss Eleanor Boyd</t>
  </si>
  <si>
    <t>Mr Maciej Dadynski</t>
  </si>
  <si>
    <t>Mr RICHARD DIDLICK</t>
  </si>
  <si>
    <t>Mrs Serena Joshi</t>
  </si>
  <si>
    <t>Mr Gurjit Gill</t>
  </si>
  <si>
    <t>Ms Debbie Alexander</t>
  </si>
  <si>
    <t>Mr David Swingler</t>
  </si>
  <si>
    <t>Miss Abbie Fitzgerald</t>
  </si>
  <si>
    <t>Miss Alexandra Biggs</t>
  </si>
  <si>
    <t>Mr Kim Lee</t>
  </si>
  <si>
    <t>Mr Sajid Munir</t>
  </si>
  <si>
    <t>Mr Kim Robotham</t>
  </si>
  <si>
    <t>Paul Melnicenko</t>
  </si>
  <si>
    <t>Mrs Farida Khan</t>
  </si>
  <si>
    <t>Mr Ramandeep Singh Kular</t>
  </si>
  <si>
    <t>Miss Amena Aijaz</t>
  </si>
  <si>
    <t>Mr Sundeep Kumar</t>
  </si>
  <si>
    <t>Ms Sehar Raja</t>
  </si>
  <si>
    <t>Mr Muhammed Ahmed</t>
  </si>
  <si>
    <t>Ms Sally ann Flemmings Danquah</t>
  </si>
  <si>
    <t>Mr Seyed Khorsan</t>
  </si>
  <si>
    <t>Mr Abrar Saiyed</t>
  </si>
  <si>
    <t>Mr Mohammad Zaid Hussain</t>
  </si>
  <si>
    <t>Ms Jameela Jamroz</t>
  </si>
  <si>
    <t>Mr IMRAN KALI</t>
  </si>
  <si>
    <t>Mr Harbinder Gahir</t>
  </si>
  <si>
    <t>Mrs Amanda Abbott</t>
  </si>
  <si>
    <t>Miss Holly Ackroyd</t>
  </si>
  <si>
    <t>Miss Saakje-Tamara Marynicz</t>
  </si>
  <si>
    <t>Mr Lawrence Watts</t>
  </si>
  <si>
    <t>Mr John Ellison</t>
  </si>
  <si>
    <t>Mr Mohammed Hussain</t>
  </si>
  <si>
    <t>Ms Maria Khan</t>
  </si>
  <si>
    <t>Miss Kelly McGuire</t>
  </si>
  <si>
    <t>Mr Paul Smith</t>
  </si>
  <si>
    <t>Ms Trudy OBrien</t>
  </si>
  <si>
    <t>Mr Mandeep Sehmi</t>
  </si>
  <si>
    <t>Mr Akhmad Iqbal</t>
  </si>
  <si>
    <t>Ms Elizabeth Muir</t>
  </si>
  <si>
    <t>Mr Michael Nicholls</t>
  </si>
  <si>
    <t>Ms Amrit Tanda</t>
  </si>
  <si>
    <t>Mr Dave Vaughan</t>
  </si>
  <si>
    <t>Mr Paul Haswell</t>
  </si>
  <si>
    <t>Mr Richard Baker</t>
  </si>
  <si>
    <t>Miss Karen Bridge</t>
  </si>
  <si>
    <t>Mrs Patricia Sayce</t>
  </si>
  <si>
    <t>Ms Marie Goodacre</t>
  </si>
  <si>
    <t>Mr Steve Banks</t>
  </si>
  <si>
    <t>Ms Kate Hunter</t>
  </si>
  <si>
    <t>Mr Sean Harkin</t>
  </si>
  <si>
    <t>Mr John Corson</t>
  </si>
  <si>
    <t>Mr Andrew Gurney</t>
  </si>
  <si>
    <t>Mr Christopher Wheeler</t>
  </si>
  <si>
    <t>Mrs Kate Hatton</t>
  </si>
  <si>
    <t>Miss Niamh Mcgovern</t>
  </si>
  <si>
    <t>Mrs Lindy Dodds</t>
  </si>
  <si>
    <t>Mr Ian Windridge (eve &amp; we)</t>
  </si>
  <si>
    <t>Mr Ryan Dunwoodie</t>
  </si>
  <si>
    <t>Miss CARRIE BRAY</t>
  </si>
  <si>
    <t>Mr Jay ODonnell</t>
  </si>
  <si>
    <t>Miss Hollie Devanney</t>
  </si>
  <si>
    <t>Miss Carrie Bray</t>
  </si>
  <si>
    <t>Ms Jennifer Warburton</t>
  </si>
  <si>
    <t>Mr Ian Brickman</t>
  </si>
  <si>
    <t>Mr Mark Harrison</t>
  </si>
  <si>
    <t>Mr David Camidge</t>
  </si>
  <si>
    <t>Mrs Lindsey Saunders</t>
  </si>
  <si>
    <t>Miss Sarah Whitworth</t>
  </si>
  <si>
    <t>Mr Richard Best</t>
  </si>
  <si>
    <t>Mr Jamie Stapleton</t>
  </si>
  <si>
    <t>Miss Charlotte Boyle (eve &amp; we)</t>
  </si>
  <si>
    <t>Mr Neil Kerr</t>
  </si>
  <si>
    <t>Miss Amandeep Sohal</t>
  </si>
  <si>
    <t>Mr Sam Wood</t>
  </si>
  <si>
    <t>Mrs Sallie Earnshaw</t>
  </si>
  <si>
    <t>Mr Hugh Docherty</t>
  </si>
  <si>
    <t>Miss Laura Reynolds</t>
  </si>
  <si>
    <t>Mr Andrew Shipley</t>
  </si>
  <si>
    <t>Mr Hytham Atchison</t>
  </si>
  <si>
    <t>Mr Lewis Carr</t>
  </si>
  <si>
    <t>Mr David Harbron</t>
  </si>
  <si>
    <t>Mr Andrew Cleal</t>
  </si>
  <si>
    <t>Rep</t>
  </si>
  <si>
    <t>Duty</t>
  </si>
  <si>
    <t>Sol</t>
  </si>
  <si>
    <t>Bar</t>
  </si>
  <si>
    <t>ILEX</t>
  </si>
  <si>
    <t>Agency</t>
  </si>
  <si>
    <t>BOLTON CROWN COURT</t>
  </si>
  <si>
    <t>BOLTON CENTRAL POLICE STATION SCHOLEY ST</t>
  </si>
  <si>
    <t>LIVERPOOL CROWN COURT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</si>
</sst>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40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f>HYPERLINK("tel:07908 551 331")</f>
        <v>0</v>
      </c>
      <c r="C2" t="s">
        <v>539</v>
      </c>
      <c r="D2">
        <f>HYPERLINK("https://www.policestationreps.com/reps.php?ID=799&amp;venue=Bolton Crown Court&amp;pocoone=QkwxIDRFTA==&amp;pocotwo=BL1 1SU")</f>
        <v>0</v>
      </c>
      <c r="E2" t="s">
        <v>545</v>
      </c>
      <c r="F2">
        <f>HYPERLINK("https://www.google.com/maps/search/Blackhorse Street, Greater Manchester BL1 1SU")</f>
        <v>0</v>
      </c>
      <c r="G2">
        <f>HYPERLINK("tel:01204 392 881")</f>
        <v>0</v>
      </c>
    </row>
    <row r="3" spans="1:7">
      <c r="A3" t="s">
        <v>8</v>
      </c>
      <c r="B3">
        <f>HYPERLINK("tel:07770 915 235")</f>
        <v>0</v>
      </c>
      <c r="C3" t="s">
        <v>540</v>
      </c>
      <c r="D3">
        <f>HYPERLINK("https://www.policestationreps.com/reps.php?ID=1247&amp;venue=Bolton Crown Court&amp;pocoone=QkwxIDRRUg==&amp;pocotwo=BL1 1SU")</f>
        <v>0</v>
      </c>
      <c r="E3" t="s">
        <v>545</v>
      </c>
      <c r="F3">
        <f>HYPERLINK("https://www.google.com/maps/search/Blackhorse Street, Greater Manchester BL1 1SU")</f>
        <v>0</v>
      </c>
      <c r="G3">
        <f>HYPERLINK("tel:01204 392 881")</f>
        <v>0</v>
      </c>
    </row>
    <row r="4" spans="1:7">
      <c r="A4" t="s">
        <v>9</v>
      </c>
      <c r="B4">
        <f>HYPERLINK("tel:07934 951 333")</f>
        <v>0</v>
      </c>
      <c r="C4" t="s">
        <v>539</v>
      </c>
      <c r="D4">
        <f>HYPERLINK("https://www.policestationreps.com/reps.php?ID=2236&amp;venue=Bolton Crown Court&amp;pocoone=QkwxIDhSTg==&amp;pocotwo=BL1 1SU")</f>
        <v>0</v>
      </c>
      <c r="E4" t="s">
        <v>545</v>
      </c>
      <c r="F4">
        <f>HYPERLINK("https://www.google.com/maps/search/Blackhorse Street, Greater Manchester BL1 1SU")</f>
        <v>0</v>
      </c>
      <c r="G4">
        <f>HYPERLINK("tel:01204 392 881")</f>
        <v>0</v>
      </c>
    </row>
    <row r="5" spans="1:7">
      <c r="A5" t="s">
        <v>10</v>
      </c>
      <c r="B5">
        <f>HYPERLINK("tel:07815 796 117")</f>
        <v>0</v>
      </c>
      <c r="C5" t="s">
        <v>541</v>
      </c>
      <c r="D5">
        <f>HYPERLINK("https://www.policestationreps.com/reps.php?ID=2855&amp;venue=Bolton Crown Court&amp;pocoone=QkwxIDZETA==&amp;pocotwo=BL1 1SU")</f>
        <v>0</v>
      </c>
      <c r="E5" t="s">
        <v>545</v>
      </c>
      <c r="F5">
        <f>HYPERLINK("https://www.google.com/maps/search/Blackhorse Street, Greater Manchester BL1 1SU")</f>
        <v>0</v>
      </c>
      <c r="G5">
        <f>HYPERLINK("tel:01204 392 881")</f>
        <v>0</v>
      </c>
    </row>
    <row r="6" spans="1:7">
      <c r="A6" t="s">
        <v>11</v>
      </c>
      <c r="B6">
        <f>HYPERLINK("tel:07776 707 080")</f>
        <v>0</v>
      </c>
      <c r="C6" t="s">
        <v>539</v>
      </c>
      <c r="D6">
        <f>HYPERLINK("https://www.policestationreps.com/reps.php?ID=2063&amp;venue=Bolton Crown Court&amp;pocoone=QkwzIDRXSA==&amp;pocotwo=BL1 1SU")</f>
        <v>0</v>
      </c>
      <c r="E6" t="s">
        <v>545</v>
      </c>
      <c r="F6">
        <f>HYPERLINK("https://www.google.com/maps/search/Blackhorse Street, Greater Manchester BL1 1SU")</f>
        <v>0</v>
      </c>
      <c r="G6">
        <f>HYPERLINK("tel:01204 392 881")</f>
        <v>0</v>
      </c>
    </row>
    <row r="7" spans="1:7">
      <c r="A7" t="s">
        <v>12</v>
      </c>
      <c r="B7">
        <f>HYPERLINK("tel:07900 261 017")</f>
        <v>0</v>
      </c>
      <c r="C7" t="s">
        <v>540</v>
      </c>
      <c r="D7">
        <f>HYPERLINK("https://www.policestationreps.com/reps.php?ID=659&amp;venue=Bolton Crown Court&amp;pocoone=QkwyIDZVUQ==&amp;pocotwo=BL1 1SU")</f>
        <v>0</v>
      </c>
      <c r="E7" t="s">
        <v>545</v>
      </c>
      <c r="F7">
        <f>HYPERLINK("https://www.google.com/maps/search/Blackhorse Street, Greater Manchester BL1 1SU")</f>
        <v>0</v>
      </c>
      <c r="G7">
        <f>HYPERLINK("tel:01204 392 881")</f>
        <v>0</v>
      </c>
    </row>
    <row r="8" spans="1:7">
      <c r="A8" t="s">
        <v>13</v>
      </c>
      <c r="B8">
        <f>HYPERLINK("tel:07802 647 484")</f>
        <v>0</v>
      </c>
      <c r="C8" t="s">
        <v>539</v>
      </c>
      <c r="D8">
        <f>HYPERLINK("https://www.policestationreps.com/reps.php?ID=2753&amp;venue=Bolton Crown Court&amp;pocoone=QkwzIDVEVw==&amp;pocotwo=BL1 1SU")</f>
        <v>0</v>
      </c>
      <c r="E8" t="s">
        <v>545</v>
      </c>
      <c r="F8">
        <f>HYPERLINK("https://www.google.com/maps/search/Blackhorse Street, Greater Manchester BL1 1SU")</f>
        <v>0</v>
      </c>
      <c r="G8">
        <f>HYPERLINK("tel:01204 392 881")</f>
        <v>0</v>
      </c>
    </row>
    <row r="9" spans="1:7">
      <c r="A9" t="s">
        <v>14</v>
      </c>
      <c r="B9">
        <f>HYPERLINK("tel:07740 432 007")</f>
        <v>0</v>
      </c>
      <c r="C9" t="s">
        <v>540</v>
      </c>
      <c r="D9">
        <f>HYPERLINK("https://www.policestationreps.com/reps.php?ID=2770&amp;venue=Bolton Crown Court&amp;pocoone=QkwzIDRVVw==&amp;pocotwo=BL1 1SU")</f>
        <v>0</v>
      </c>
      <c r="E9" t="s">
        <v>545</v>
      </c>
      <c r="F9">
        <f>HYPERLINK("https://www.google.com/maps/search/Blackhorse Street, Greater Manchester BL1 1SU")</f>
        <v>0</v>
      </c>
      <c r="G9">
        <f>HYPERLINK("tel:01204 392 881")</f>
        <v>0</v>
      </c>
    </row>
    <row r="10" spans="1:7">
      <c r="A10" t="s">
        <v>15</v>
      </c>
      <c r="B10">
        <f>HYPERLINK("tel:07922 691 484")</f>
        <v>0</v>
      </c>
      <c r="C10" t="s">
        <v>539</v>
      </c>
      <c r="D10">
        <f>HYPERLINK("https://www.policestationreps.com/reps.php?ID=1589&amp;venue=Bolton Crown Court&amp;pocoone=Qkw3IDhBUw==&amp;pocotwo=BL1 1SU")</f>
        <v>0</v>
      </c>
      <c r="E10" t="s">
        <v>545</v>
      </c>
      <c r="F10">
        <f>HYPERLINK("https://www.google.com/maps/search/Blackhorse Street, Greater Manchester BL1 1SU")</f>
        <v>0</v>
      </c>
      <c r="G10">
        <f>HYPERLINK("tel:01204 392 881")</f>
        <v>0</v>
      </c>
    </row>
    <row r="11" spans="1:7">
      <c r="A11" t="s">
        <v>16</v>
      </c>
      <c r="B11">
        <f>HYPERLINK("tel:07500 041 665")</f>
        <v>0</v>
      </c>
      <c r="C11" t="s">
        <v>539</v>
      </c>
      <c r="D11">
        <f>HYPERLINK("https://www.policestationreps.com/reps.php?ID=2710&amp;venue=Bolton Crown Court&amp;pocoone=Qkw3IDlFRQ==&amp;pocotwo=BL1 1SU")</f>
        <v>0</v>
      </c>
      <c r="E11" t="s">
        <v>545</v>
      </c>
      <c r="F11">
        <f>HYPERLINK("https://www.google.com/maps/search/Blackhorse Street, Greater Manchester BL1 1SU")</f>
        <v>0</v>
      </c>
      <c r="G11">
        <f>HYPERLINK("tel:01204 392 881")</f>
        <v>0</v>
      </c>
    </row>
    <row r="12" spans="1:7">
      <c r="A12" t="s">
        <v>17</v>
      </c>
      <c r="B12">
        <f>HYPERLINK("tel:07759 537 703")</f>
        <v>0</v>
      </c>
      <c r="C12" t="s">
        <v>539</v>
      </c>
      <c r="D12">
        <f>HYPERLINK("https://www.policestationreps.com/reps.php?ID=89&amp;venue=Bolton Crown Court&amp;pocoone=Qkw2IDRQTg==&amp;pocotwo=BL1 1SU")</f>
        <v>0</v>
      </c>
      <c r="E12" t="s">
        <v>545</v>
      </c>
      <c r="F12">
        <f>HYPERLINK("https://www.google.com/maps/search/Blackhorse Street, Greater Manchester BL1 1SU")</f>
        <v>0</v>
      </c>
      <c r="G12">
        <f>HYPERLINK("tel:01204 392 881")</f>
        <v>0</v>
      </c>
    </row>
    <row r="13" spans="1:7">
      <c r="A13" t="s">
        <v>18</v>
      </c>
      <c r="B13">
        <f>HYPERLINK("tel:07725 950 345")</f>
        <v>0</v>
      </c>
      <c r="C13" t="s">
        <v>539</v>
      </c>
      <c r="D13">
        <f>HYPERLINK("https://www.policestationreps.com/reps.php?ID=2038&amp;venue=Bolton Crown Court&amp;pocoone=Qkw1IDJCWA==&amp;pocotwo=BL1 1SU")</f>
        <v>0</v>
      </c>
      <c r="E13" t="s">
        <v>545</v>
      </c>
      <c r="F13">
        <f>HYPERLINK("https://www.google.com/maps/search/Blackhorse Street, Greater Manchester BL1 1SU")</f>
        <v>0</v>
      </c>
      <c r="G13">
        <f>HYPERLINK("tel:01204 392 881")</f>
        <v>0</v>
      </c>
    </row>
    <row r="14" spans="1:7">
      <c r="A14" t="s">
        <v>19</v>
      </c>
      <c r="B14">
        <f>HYPERLINK("tel:07807 826 754")</f>
        <v>0</v>
      </c>
      <c r="C14" t="s">
        <v>540</v>
      </c>
      <c r="D14">
        <f>HYPERLINK("https://www.policestationreps.com/reps.php?ID=1245&amp;venue=Bolton Crown Court&amp;pocoone=Qkw2IDRMUg==&amp;pocotwo=BL1 1SU")</f>
        <v>0</v>
      </c>
      <c r="E14" t="s">
        <v>545</v>
      </c>
      <c r="F14">
        <f>HYPERLINK("https://www.google.com/maps/search/Blackhorse Street, Greater Manchester BL1 1SU")</f>
        <v>0</v>
      </c>
      <c r="G14">
        <f>HYPERLINK("tel:01204 392 881")</f>
        <v>0</v>
      </c>
    </row>
    <row r="15" spans="1:7">
      <c r="A15" t="s">
        <v>20</v>
      </c>
      <c r="B15">
        <f>HYPERLINK("tel:07921 689 644")</f>
        <v>0</v>
      </c>
      <c r="C15" t="s">
        <v>541</v>
      </c>
      <c r="D15">
        <f>HYPERLINK("https://www.policestationreps.com/reps.php?ID=2550&amp;venue=Bolton Crown Court&amp;pocoone=TTI2IDNUUg==&amp;pocotwo=BL1 1SU")</f>
        <v>0</v>
      </c>
      <c r="E15" t="s">
        <v>545</v>
      </c>
      <c r="F15">
        <f>HYPERLINK("https://www.google.com/maps/search/Blackhorse Street, Greater Manchester BL1 1SU")</f>
        <v>0</v>
      </c>
      <c r="G15">
        <f>HYPERLINK("tel:01204 392 881")</f>
        <v>0</v>
      </c>
    </row>
    <row r="16" spans="1:7">
      <c r="A16" t="s">
        <v>21</v>
      </c>
      <c r="B16">
        <f>HYPERLINK("tel:07540 251 930")</f>
        <v>0</v>
      </c>
      <c r="C16" t="s">
        <v>541</v>
      </c>
      <c r="D16">
        <f>HYPERLINK("https://www.policestationreps.com/reps.php?ID=2306&amp;venue=Bolton Crown Court&amp;pocoone=Qkw5IDdCQg==&amp;pocotwo=BL1 1SU")</f>
        <v>0</v>
      </c>
      <c r="E16" t="s">
        <v>545</v>
      </c>
      <c r="F16">
        <f>HYPERLINK("https://www.google.com/maps/search/Blackhorse Street, Greater Manchester BL1 1SU")</f>
        <v>0</v>
      </c>
      <c r="G16">
        <f>HYPERLINK("tel:01204 392 881")</f>
        <v>0</v>
      </c>
    </row>
    <row r="17" spans="1:7">
      <c r="A17" t="s">
        <v>22</v>
      </c>
      <c r="B17">
        <f>HYPERLINK("tel:07793 036 620")</f>
        <v>0</v>
      </c>
      <c r="C17" t="s">
        <v>540</v>
      </c>
      <c r="D17">
        <f>HYPERLINK("https://www.policestationreps.com/reps.php?ID=915&amp;venue=Bolton Crown Court&amp;pocoone=TTI4IDFHWg==&amp;pocotwo=BL1 1SU")</f>
        <v>0</v>
      </c>
      <c r="E17" t="s">
        <v>545</v>
      </c>
      <c r="F17">
        <f>HYPERLINK("https://www.google.com/maps/search/Blackhorse Street, Greater Manchester BL1 1SU")</f>
        <v>0</v>
      </c>
      <c r="G17">
        <f>HYPERLINK("tel:01204 392 881")</f>
        <v>0</v>
      </c>
    </row>
    <row r="18" spans="1:7">
      <c r="A18" t="s">
        <v>23</v>
      </c>
      <c r="B18">
        <f>HYPERLINK("tel:07523 412 364")</f>
        <v>0</v>
      </c>
      <c r="C18" t="s">
        <v>541</v>
      </c>
      <c r="D18">
        <f>HYPERLINK("https://www.policestationreps.com/reps.php?ID=1285&amp;venue=Bolton Crown Court&amp;pocoone=Qkw5IDhFRg==&amp;pocotwo=BL1 1SU")</f>
        <v>0</v>
      </c>
      <c r="E18" t="s">
        <v>545</v>
      </c>
      <c r="F18">
        <f>HYPERLINK("https://www.google.com/maps/search/Blackhorse Street, Greater Manchester BL1 1SU")</f>
        <v>0</v>
      </c>
      <c r="G18">
        <f>HYPERLINK("tel:01204 392 881")</f>
        <v>0</v>
      </c>
    </row>
    <row r="19" spans="1:7">
      <c r="A19" t="s">
        <v>24</v>
      </c>
      <c r="B19">
        <f>HYPERLINK("tel:07496 479 392")</f>
        <v>0</v>
      </c>
      <c r="C19" t="s">
        <v>539</v>
      </c>
      <c r="D19">
        <f>HYPERLINK("https://www.policestationreps.com/reps.php?ID=2091&amp;venue=Bolton Crown Court&amp;pocoone=Qkw5IDdMRQ==&amp;pocotwo=BL1 1SU")</f>
        <v>0</v>
      </c>
      <c r="E19" t="s">
        <v>545</v>
      </c>
      <c r="F19">
        <f>HYPERLINK("https://www.google.com/maps/search/Blackhorse Street, Greater Manchester BL1 1SU")</f>
        <v>0</v>
      </c>
      <c r="G19">
        <f>HYPERLINK("tel:01204 392 881")</f>
        <v>0</v>
      </c>
    </row>
    <row r="20" spans="1:7">
      <c r="A20" t="s">
        <v>25</v>
      </c>
      <c r="B20">
        <f>HYPERLINK("tel:07971 140 903")</f>
        <v>0</v>
      </c>
      <c r="C20" t="s">
        <v>540</v>
      </c>
      <c r="D20">
        <f>HYPERLINK("https://www.policestationreps.com/reps.php?ID=583&amp;venue=Bolton Crown Court&amp;pocoone=TTI4IDNURQ==&amp;pocotwo=BL1 1SU")</f>
        <v>0</v>
      </c>
      <c r="E20" t="s">
        <v>545</v>
      </c>
      <c r="F20">
        <f>HYPERLINK("https://www.google.com/maps/search/Blackhorse Street, Greater Manchester BL1 1SU")</f>
        <v>0</v>
      </c>
      <c r="G20">
        <f>HYPERLINK("tel:01204 392 881")</f>
        <v>0</v>
      </c>
    </row>
    <row r="21" spans="1:7">
      <c r="A21" t="s">
        <v>26</v>
      </c>
      <c r="B21">
        <f>HYPERLINK("tel:07840 397 341")</f>
        <v>0</v>
      </c>
      <c r="C21" t="s">
        <v>539</v>
      </c>
      <c r="D21">
        <f>HYPERLINK("https://www.policestationreps.com/reps.php?ID=1257&amp;venue=Bolton Crown Court&amp;pocoone=TTQ1IDdIWg==&amp;pocotwo=BL1 1SU")</f>
        <v>0</v>
      </c>
      <c r="E21" t="s">
        <v>545</v>
      </c>
      <c r="F21">
        <f>HYPERLINK("https://www.google.com/maps/search/Blackhorse Street, Greater Manchester BL1 1SU")</f>
        <v>0</v>
      </c>
      <c r="G21">
        <f>HYPERLINK("tel:01204 392 881")</f>
        <v>0</v>
      </c>
    </row>
    <row r="22" spans="1:7">
      <c r="A22" t="s">
        <v>27</v>
      </c>
      <c r="B22">
        <f>HYPERLINK("tel:07771 655 621")</f>
        <v>0</v>
      </c>
      <c r="C22" t="s">
        <v>539</v>
      </c>
      <c r="D22">
        <f>HYPERLINK("https://www.policestationreps.com/reps.php?ID=213&amp;venue=Bolton Crown Court&amp;pocoone=V043IDJBWQ==&amp;pocotwo=BL1 1SU")</f>
        <v>0</v>
      </c>
      <c r="E22" t="s">
        <v>545</v>
      </c>
      <c r="F22">
        <f>HYPERLINK("https://www.google.com/maps/search/Blackhorse Street, Greater Manchester BL1 1SU")</f>
        <v>0</v>
      </c>
      <c r="G22">
        <f>HYPERLINK("tel:01204 392 881")</f>
        <v>0</v>
      </c>
    </row>
    <row r="23" spans="1:7">
      <c r="A23" t="s">
        <v>28</v>
      </c>
      <c r="B23">
        <f>HYPERLINK("tel:07826 924 947")</f>
        <v>0</v>
      </c>
      <c r="C23" t="s">
        <v>540</v>
      </c>
      <c r="D23">
        <f>HYPERLINK("https://www.policestationreps.com/reps.php?ID=219&amp;venue=Bolton Crown Court&amp;pocoone=TTI3IDVFRw==&amp;pocotwo=BL1 1SU")</f>
        <v>0</v>
      </c>
      <c r="E23" t="s">
        <v>545</v>
      </c>
      <c r="F23">
        <f>HYPERLINK("https://www.google.com/maps/search/Blackhorse Street, Greater Manchester BL1 1SU")</f>
        <v>0</v>
      </c>
      <c r="G23">
        <f>HYPERLINK("tel:01204 392 881")</f>
        <v>0</v>
      </c>
    </row>
    <row r="24" spans="1:7">
      <c r="A24" t="s">
        <v>29</v>
      </c>
      <c r="B24">
        <f>HYPERLINK("tel:07813 139 798")</f>
        <v>0</v>
      </c>
      <c r="C24" t="s">
        <v>539</v>
      </c>
      <c r="D24">
        <f>HYPERLINK("https://www.policestationreps.com/reps.php?ID=211&amp;venue=Bolton Crown Court&amp;pocoone=TTQ1IDZFTg==&amp;pocotwo=BL1 1SU")</f>
        <v>0</v>
      </c>
      <c r="E24" t="s">
        <v>545</v>
      </c>
      <c r="F24">
        <f>HYPERLINK("https://www.google.com/maps/search/Blackhorse Street, Greater Manchester BL1 1SU")</f>
        <v>0</v>
      </c>
      <c r="G24">
        <f>HYPERLINK("tel:01204 392 881")</f>
        <v>0</v>
      </c>
    </row>
    <row r="25" spans="1:7">
      <c r="A25" t="s">
        <v>30</v>
      </c>
      <c r="B25">
        <f>HYPERLINK("tel:07414 900 627")</f>
        <v>0</v>
      </c>
      <c r="C25" t="s">
        <v>539</v>
      </c>
      <c r="D25">
        <f>HYPERLINK("https://www.policestationreps.com/reps.php?ID=1171&amp;venue=Bolton Crown Court&amp;pocoone=TTI1IDFHRQ==&amp;pocotwo=BL1 1SU")</f>
        <v>0</v>
      </c>
      <c r="E25" t="s">
        <v>545</v>
      </c>
      <c r="F25">
        <f>HYPERLINK("https://www.google.com/maps/search/Blackhorse Street, Greater Manchester BL1 1SU")</f>
        <v>0</v>
      </c>
      <c r="G25">
        <f>HYPERLINK("tel:01204 392 881")</f>
        <v>0</v>
      </c>
    </row>
    <row r="26" spans="1:7">
      <c r="A26" t="s">
        <v>31</v>
      </c>
      <c r="B26">
        <f>HYPERLINK("tel:07793 267 890")</f>
        <v>0</v>
      </c>
      <c r="C26" t="s">
        <v>539</v>
      </c>
      <c r="D26">
        <f>HYPERLINK("https://www.policestationreps.com/reps.php?ID=1687&amp;venue=Bolton Crown Court&amp;pocoone=QkIzIDBTRg==&amp;pocotwo=BL1 1SU")</f>
        <v>0</v>
      </c>
      <c r="E26" t="s">
        <v>545</v>
      </c>
      <c r="F26">
        <f>HYPERLINK("https://www.google.com/maps/search/Blackhorse Street, Greater Manchester BL1 1SU")</f>
        <v>0</v>
      </c>
      <c r="G26">
        <f>HYPERLINK("tel:01204 392 881")</f>
        <v>0</v>
      </c>
    </row>
    <row r="27" spans="1:7">
      <c r="A27" t="s">
        <v>32</v>
      </c>
      <c r="B27">
        <f>HYPERLINK("tel:07301 116 855")</f>
        <v>0</v>
      </c>
      <c r="C27" t="s">
        <v>539</v>
      </c>
      <c r="D27">
        <f>HYPERLINK("https://www.policestationreps.com/reps.php?ID=2840&amp;venue=Bolton Crown Court&amp;pocoone=QkIzIDNQUg==&amp;pocotwo=BL1 1SU")</f>
        <v>0</v>
      </c>
      <c r="E27" t="s">
        <v>545</v>
      </c>
      <c r="F27">
        <f>HYPERLINK("https://www.google.com/maps/search/Blackhorse Street, Greater Manchester BL1 1SU")</f>
        <v>0</v>
      </c>
      <c r="G27">
        <f>HYPERLINK("tel:01204 392 881")</f>
        <v>0</v>
      </c>
    </row>
    <row r="28" spans="1:7">
      <c r="A28" t="s">
        <v>33</v>
      </c>
      <c r="B28">
        <f>HYPERLINK("tel:07973 442 181")</f>
        <v>0</v>
      </c>
      <c r="C28" t="s">
        <v>539</v>
      </c>
      <c r="D28">
        <f>HYPERLINK("https://www.policestationreps.com/reps.php?ID=773&amp;venue=Bolton Crown Court&amp;pocoone=TTI1IDNISA==&amp;pocotwo=BL1 1SU")</f>
        <v>0</v>
      </c>
      <c r="E28" t="s">
        <v>545</v>
      </c>
      <c r="F28">
        <f>HYPERLINK("https://www.google.com/maps/search/Blackhorse Street, Greater Manchester BL1 1SU")</f>
        <v>0</v>
      </c>
      <c r="G28">
        <f>HYPERLINK("tel:01204 392 881")</f>
        <v>0</v>
      </c>
    </row>
    <row r="29" spans="1:7">
      <c r="A29" t="s">
        <v>34</v>
      </c>
      <c r="B29">
        <f>HYPERLINK("tel:07404 667 000")</f>
        <v>0</v>
      </c>
      <c r="C29" t="s">
        <v>541</v>
      </c>
      <c r="D29">
        <f>HYPERLINK("https://www.policestationreps.com/reps.php?ID=1409&amp;venue=Bolton Crown Court&amp;pocoone=TTI1IDBKRA==&amp;pocotwo=BL1 1SU")</f>
        <v>0</v>
      </c>
      <c r="E29" t="s">
        <v>545</v>
      </c>
      <c r="F29">
        <f>HYPERLINK("https://www.google.com/maps/search/Blackhorse Street, Greater Manchester BL1 1SU")</f>
        <v>0</v>
      </c>
      <c r="G29">
        <f>HYPERLINK("tel:01204 392 881")</f>
        <v>0</v>
      </c>
    </row>
    <row r="30" spans="1:7">
      <c r="A30" t="s">
        <v>35</v>
      </c>
      <c r="B30">
        <f>HYPERLINK("tel:07572 772 731")</f>
        <v>0</v>
      </c>
      <c r="C30" t="s">
        <v>539</v>
      </c>
      <c r="D30">
        <f>HYPERLINK("https://www.policestationreps.com/reps.php?ID=2046&amp;venue=Bolton Crown Court&amp;pocoone=TTI1IDJMWQ==&amp;pocotwo=BL1 1SU")</f>
        <v>0</v>
      </c>
      <c r="E30" t="s">
        <v>545</v>
      </c>
      <c r="F30">
        <f>HYPERLINK("https://www.google.com/maps/search/Blackhorse Street, Greater Manchester BL1 1SU")</f>
        <v>0</v>
      </c>
      <c r="G30">
        <f>HYPERLINK("tel:01204 392 881")</f>
        <v>0</v>
      </c>
    </row>
    <row r="31" spans="1:7">
      <c r="A31" t="s">
        <v>36</v>
      </c>
      <c r="B31">
        <f>HYPERLINK("tel:07492 953 840")</f>
        <v>0</v>
      </c>
      <c r="C31" t="s">
        <v>539</v>
      </c>
      <c r="D31">
        <f>HYPERLINK("https://www.policestationreps.com/reps.php?ID=2670&amp;venue=Bolton Crown Court&amp;pocoone=UFI3IDJORA==&amp;pocotwo=BL1 1SU")</f>
        <v>0</v>
      </c>
      <c r="E31" t="s">
        <v>545</v>
      </c>
      <c r="F31">
        <f>HYPERLINK("https://www.google.com/maps/search/Blackhorse Street, Greater Manchester BL1 1SU")</f>
        <v>0</v>
      </c>
      <c r="G31">
        <f>HYPERLINK("tel:01204 392 881")</f>
        <v>0</v>
      </c>
    </row>
    <row r="32" spans="1:7">
      <c r="A32" t="s">
        <v>37</v>
      </c>
      <c r="B32">
        <f>HYPERLINK("tel:07564 215 239")</f>
        <v>0</v>
      </c>
      <c r="C32" t="s">
        <v>539</v>
      </c>
      <c r="D32">
        <f>HYPERLINK("https://www.policestationreps.com/reps.php?ID=2644&amp;venue=Bolton Crown Court&amp;pocoone=V042IDdIVQ==&amp;pocotwo=BL1 1SU")</f>
        <v>0</v>
      </c>
      <c r="E32" t="s">
        <v>545</v>
      </c>
      <c r="F32">
        <f>HYPERLINK("https://www.google.com/maps/search/Blackhorse Street, Greater Manchester BL1 1SU")</f>
        <v>0</v>
      </c>
      <c r="G32">
        <f>HYPERLINK("tel:01204 392 881")</f>
        <v>0</v>
      </c>
    </row>
    <row r="33" spans="1:7">
      <c r="A33" t="s">
        <v>38</v>
      </c>
      <c r="B33">
        <f>HYPERLINK("tel:07973 393 414")</f>
        <v>0</v>
      </c>
      <c r="C33" t="s">
        <v>541</v>
      </c>
      <c r="D33">
        <f>HYPERLINK("https://www.policestationreps.com/reps.php?ID=2000&amp;venue=Bolton Crown Court&amp;pocoone=UFI3&amp;pocotwo=BL1 1SU")</f>
        <v>0</v>
      </c>
      <c r="E33" t="s">
        <v>545</v>
      </c>
      <c r="F33">
        <f>HYPERLINK("https://www.google.com/maps/search/Blackhorse Street, Greater Manchester BL1 1SU")</f>
        <v>0</v>
      </c>
      <c r="G33">
        <f>HYPERLINK("tel:01204 392 881")</f>
        <v>0</v>
      </c>
    </row>
    <row r="34" spans="1:7">
      <c r="A34" t="s">
        <v>39</v>
      </c>
      <c r="B34">
        <f>HYPERLINK("tel:07852 909 559")</f>
        <v>0</v>
      </c>
      <c r="C34" t="s">
        <v>539</v>
      </c>
      <c r="D34">
        <f>HYPERLINK("https://www.policestationreps.com/reps.php?ID=2238&amp;venue=Bolton Crown Court&amp;pocoone=TTYgNVdB&amp;pocotwo=BL1 1SU")</f>
        <v>0</v>
      </c>
      <c r="E34" t="s">
        <v>545</v>
      </c>
      <c r="F34">
        <f>HYPERLINK("https://www.google.com/maps/search/Blackhorse Street, Greater Manchester BL1 1SU")</f>
        <v>0</v>
      </c>
      <c r="G34">
        <f>HYPERLINK("tel:01204 392 881")</f>
        <v>0</v>
      </c>
    </row>
    <row r="35" spans="1:7">
      <c r="A35" t="s">
        <v>40</v>
      </c>
      <c r="B35">
        <f>HYPERLINK("tel:07772 395 432")</f>
        <v>0</v>
      </c>
      <c r="C35" t="s">
        <v>539</v>
      </c>
      <c r="D35">
        <f>HYPERLINK("https://www.policestationreps.com/reps.php?ID=2719&amp;venue=Bolton Crown Court&amp;pocoone=UFI3IDNBWg==&amp;pocotwo=BL1 1SU")</f>
        <v>0</v>
      </c>
      <c r="E35" t="s">
        <v>545</v>
      </c>
      <c r="F35">
        <f>HYPERLINK("https://www.google.com/maps/search/Blackhorse Street, Greater Manchester BL1 1SU")</f>
        <v>0</v>
      </c>
      <c r="G35">
        <f>HYPERLINK("tel:01204 392 881")</f>
        <v>0</v>
      </c>
    </row>
    <row r="36" spans="1:7">
      <c r="A36" t="s">
        <v>41</v>
      </c>
      <c r="B36">
        <f>HYPERLINK("tel:07957 541 671")</f>
        <v>0</v>
      </c>
      <c r="C36" t="s">
        <v>539</v>
      </c>
      <c r="D36">
        <f>HYPERLINK("https://www.policestationreps.com/reps.php?ID=2787&amp;venue=Bolton Crown Court&amp;pocoone=UFI3IDVVVQ==&amp;pocotwo=BL1 1SU")</f>
        <v>0</v>
      </c>
      <c r="E36" t="s">
        <v>545</v>
      </c>
      <c r="F36">
        <f>HYPERLINK("https://www.google.com/maps/search/Blackhorse Street, Greater Manchester BL1 1SU")</f>
        <v>0</v>
      </c>
      <c r="G36">
        <f>HYPERLINK("tel:01204 392 881")</f>
        <v>0</v>
      </c>
    </row>
    <row r="37" spans="1:7">
      <c r="A37" t="s">
        <v>42</v>
      </c>
      <c r="B37">
        <f>HYPERLINK("tel:07955 141 515")</f>
        <v>0</v>
      </c>
      <c r="C37" t="s">
        <v>539</v>
      </c>
      <c r="D37">
        <f>HYPERLINK("https://www.policestationreps.com/reps.php?ID=2377&amp;venue=Bolton Crown Court&amp;pocoone=TTggNE5U&amp;pocotwo=BL1 1SU")</f>
        <v>0</v>
      </c>
      <c r="E37" t="s">
        <v>545</v>
      </c>
      <c r="F37">
        <f>HYPERLINK("https://www.google.com/maps/search/Blackhorse Street, Greater Manchester BL1 1SU")</f>
        <v>0</v>
      </c>
      <c r="G37">
        <f>HYPERLINK("tel:01204 392 881")</f>
        <v>0</v>
      </c>
    </row>
    <row r="38" spans="1:7">
      <c r="A38" t="s">
        <v>43</v>
      </c>
      <c r="B38">
        <f>HYPERLINK("tel:07887 909 347")</f>
        <v>0</v>
      </c>
      <c r="C38" t="s">
        <v>541</v>
      </c>
      <c r="D38">
        <f>HYPERLINK("https://www.policestationreps.com/reps.php?ID=2755&amp;venue=Bolton Crown Court&amp;pocoone=QkI0IDVBRw==&amp;pocotwo=BL1 1SU")</f>
        <v>0</v>
      </c>
      <c r="E38" t="s">
        <v>545</v>
      </c>
      <c r="F38">
        <f>HYPERLINK("https://www.google.com/maps/search/Blackhorse Street, Greater Manchester BL1 1SU")</f>
        <v>0</v>
      </c>
      <c r="G38">
        <f>HYPERLINK("tel:01204 392 881")</f>
        <v>0</v>
      </c>
    </row>
    <row r="39" spans="1:7">
      <c r="A39" t="s">
        <v>44</v>
      </c>
      <c r="B39">
        <f>HYPERLINK("tel:07904 061 327")</f>
        <v>0</v>
      </c>
      <c r="C39" t="s">
        <v>541</v>
      </c>
      <c r="D39">
        <f>HYPERLINK("https://www.policestationreps.com/reps.php?ID=1448&amp;venue=Bolton Crown Court&amp;pocoone=TTggOUpF&amp;pocotwo=BL1 1SU")</f>
        <v>0</v>
      </c>
      <c r="E39" t="s">
        <v>545</v>
      </c>
      <c r="F39">
        <f>HYPERLINK("https://www.google.com/maps/search/Blackhorse Street, Greater Manchester BL1 1SU")</f>
        <v>0</v>
      </c>
      <c r="G39">
        <f>HYPERLINK("tel:01204 392 881")</f>
        <v>0</v>
      </c>
    </row>
    <row r="40" spans="1:7">
      <c r="A40" t="s">
        <v>45</v>
      </c>
      <c r="B40">
        <f>HYPERLINK("tel:07709 131 517")</f>
        <v>0</v>
      </c>
      <c r="C40" t="s">
        <v>539</v>
      </c>
      <c r="D40">
        <f>HYPERLINK("https://www.policestationreps.com/reps.php?ID=1977&amp;venue=Bolton Crown Court&amp;pocoone=TTUgNUxF&amp;pocotwo=BL1 1SU")</f>
        <v>0</v>
      </c>
      <c r="E40" t="s">
        <v>545</v>
      </c>
      <c r="F40">
        <f>HYPERLINK("https://www.google.com/maps/search/Blackhorse Street, Greater Manchester BL1 1SU")</f>
        <v>0</v>
      </c>
      <c r="G40">
        <f>HYPERLINK("tel:01204 392 881")</f>
        <v>0</v>
      </c>
    </row>
    <row r="41" spans="1:7">
      <c r="A41" t="s">
        <v>46</v>
      </c>
      <c r="B41">
        <f>HYPERLINK("tel:07896 028 305")</f>
        <v>0</v>
      </c>
      <c r="C41" t="s">
        <v>541</v>
      </c>
      <c r="D41">
        <f>HYPERLINK("https://www.policestationreps.com/reps.php?ID=2577&amp;venue=Bolton Crown Court&amp;pocoone=QkI0IDRFUw==&amp;pocotwo=BL1 1SU")</f>
        <v>0</v>
      </c>
      <c r="E41" t="s">
        <v>545</v>
      </c>
      <c r="F41">
        <f>HYPERLINK("https://www.google.com/maps/search/Blackhorse Street, Greater Manchester BL1 1SU")</f>
        <v>0</v>
      </c>
      <c r="G41">
        <f>HYPERLINK("tel:01204 392 881")</f>
        <v>0</v>
      </c>
    </row>
    <row r="42" spans="1:7">
      <c r="A42" t="s">
        <v>47</v>
      </c>
      <c r="B42">
        <f>HYPERLINK("tel:07912 210 982")</f>
        <v>0</v>
      </c>
      <c r="C42" t="s">
        <v>539</v>
      </c>
      <c r="D42">
        <f>HYPERLINK("https://www.policestationreps.com/reps.php?ID=911&amp;venue=Bolton Crown Court&amp;pocoone=QkI0IDRMVA==&amp;pocotwo=BL1 1SU")</f>
        <v>0</v>
      </c>
      <c r="E42" t="s">
        <v>545</v>
      </c>
      <c r="F42">
        <f>HYPERLINK("https://www.google.com/maps/search/Blackhorse Street, Greater Manchester BL1 1SU")</f>
        <v>0</v>
      </c>
      <c r="G42">
        <f>HYPERLINK("tel:01204 392 881")</f>
        <v>0</v>
      </c>
    </row>
    <row r="43" spans="1:7">
      <c r="A43" t="s">
        <v>48</v>
      </c>
      <c r="B43">
        <f>HYPERLINK("tel:07835 018 061")</f>
        <v>0</v>
      </c>
      <c r="C43" t="s">
        <v>539</v>
      </c>
      <c r="D43">
        <f>HYPERLINK("https://www.policestationreps.com/reps.php?ID=2052&amp;venue=Bolton Crown Court&amp;pocoone=QkI0IDVURg==&amp;pocotwo=BL1 1SU")</f>
        <v>0</v>
      </c>
      <c r="E43" t="s">
        <v>545</v>
      </c>
      <c r="F43">
        <f>HYPERLINK("https://www.google.com/maps/search/Blackhorse Street, Greater Manchester BL1 1SU")</f>
        <v>0</v>
      </c>
      <c r="G43">
        <f>HYPERLINK("tel:01204 392 881")</f>
        <v>0</v>
      </c>
    </row>
    <row r="44" spans="1:7">
      <c r="A44" t="s">
        <v>49</v>
      </c>
      <c r="B44">
        <f>HYPERLINK("tel:07791 506 077")</f>
        <v>0</v>
      </c>
      <c r="C44" t="s">
        <v>540</v>
      </c>
      <c r="D44">
        <f>HYPERLINK("https://www.policestationreps.com/reps.php?ID=1400&amp;venue=Bolton Crown Court&amp;pocoone=TTcgM1BV&amp;pocotwo=BL1 1SU")</f>
        <v>0</v>
      </c>
      <c r="E44" t="s">
        <v>545</v>
      </c>
      <c r="F44">
        <f>HYPERLINK("https://www.google.com/maps/search/Blackhorse Street, Greater Manchester BL1 1SU")</f>
        <v>0</v>
      </c>
      <c r="G44">
        <f>HYPERLINK("tel:01204 392 881")</f>
        <v>0</v>
      </c>
    </row>
    <row r="45" spans="1:7">
      <c r="A45" t="s">
        <v>50</v>
      </c>
      <c r="B45">
        <f>HYPERLINK("tel:07952 906 828")</f>
        <v>0</v>
      </c>
      <c r="C45" t="s">
        <v>539</v>
      </c>
      <c r="D45">
        <f>HYPERLINK("https://www.policestationreps.com/reps.php?ID=2788&amp;venue=Bolton Crown Court&amp;pocoone=V0EzIDNMWA==&amp;pocotwo=BL1 1SU")</f>
        <v>0</v>
      </c>
      <c r="E45" t="s">
        <v>545</v>
      </c>
      <c r="F45">
        <f>HYPERLINK("https://www.google.com/maps/search/Blackhorse Street, Greater Manchester BL1 1SU")</f>
        <v>0</v>
      </c>
      <c r="G45">
        <f>HYPERLINK("tel:01204 392 881")</f>
        <v>0</v>
      </c>
    </row>
    <row r="46" spans="1:7">
      <c r="A46" t="s">
        <v>51</v>
      </c>
      <c r="B46">
        <f>HYPERLINK("tel:07988 021 183")</f>
        <v>0</v>
      </c>
      <c r="C46" t="s">
        <v>539</v>
      </c>
      <c r="D46">
        <f>HYPERLINK("https://www.policestationreps.com/reps.php?ID=2883&amp;venue=Bolton Crown Court&amp;pocoone=TTUgM1dK&amp;pocotwo=BL1 1SU")</f>
        <v>0</v>
      </c>
      <c r="E46" t="s">
        <v>545</v>
      </c>
      <c r="F46">
        <f>HYPERLINK("https://www.google.com/maps/search/Blackhorse Street, Greater Manchester BL1 1SU")</f>
        <v>0</v>
      </c>
      <c r="G46">
        <f>HYPERLINK("tel:01204 392 881")</f>
        <v>0</v>
      </c>
    </row>
    <row r="47" spans="1:7">
      <c r="A47" t="s">
        <v>52</v>
      </c>
      <c r="B47">
        <f>HYPERLINK("tel:07896 961 061")</f>
        <v>0</v>
      </c>
      <c r="C47" t="s">
        <v>539</v>
      </c>
      <c r="D47">
        <f>HYPERLINK("https://www.policestationreps.com/reps.php?ID=2599&amp;venue=Bolton Crown Court&amp;pocoone=TTQgNURC&amp;pocotwo=BL1 1SU")</f>
        <v>0</v>
      </c>
      <c r="E47" t="s">
        <v>545</v>
      </c>
      <c r="F47">
        <f>HYPERLINK("https://www.google.com/maps/search/Blackhorse Street, Greater Manchester BL1 1SU")</f>
        <v>0</v>
      </c>
      <c r="G47">
        <f>HYPERLINK("tel:01204 392 881")</f>
        <v>0</v>
      </c>
    </row>
    <row r="48" spans="1:7">
      <c r="A48" t="s">
        <v>53</v>
      </c>
      <c r="B48">
        <f>HYPERLINK("tel:07958 938 874")</f>
        <v>0</v>
      </c>
      <c r="C48" t="s">
        <v>541</v>
      </c>
      <c r="D48">
        <f>HYPERLINK("https://www.policestationreps.com/reps.php?ID=2148&amp;venue=Bolton Crown Court&amp;pocoone=QkIxIDdITg==&amp;pocotwo=BL1 1SU")</f>
        <v>0</v>
      </c>
      <c r="E48" t="s">
        <v>545</v>
      </c>
      <c r="F48">
        <f>HYPERLINK("https://www.google.com/maps/search/Blackhorse Street, Greater Manchester BL1 1SU")</f>
        <v>0</v>
      </c>
      <c r="G48">
        <f>HYPERLINK("tel:01204 392 881")</f>
        <v>0</v>
      </c>
    </row>
    <row r="49" spans="1:7">
      <c r="A49" t="s">
        <v>54</v>
      </c>
      <c r="B49">
        <f>HYPERLINK("tel:07809 117 538")</f>
        <v>0</v>
      </c>
      <c r="C49" t="s">
        <v>539</v>
      </c>
      <c r="D49">
        <f>HYPERLINK("https://www.policestationreps.com/reps.php?ID=1640&amp;venue=Bolton Crown Court&amp;pocoone=T0wxMSA1UFI=&amp;pocotwo=BL1 1SU")</f>
        <v>0</v>
      </c>
      <c r="E49" t="s">
        <v>545</v>
      </c>
      <c r="F49">
        <f>HYPERLINK("https://www.google.com/maps/search/Blackhorse Street, Greater Manchester BL1 1SU")</f>
        <v>0</v>
      </c>
      <c r="G49">
        <f>HYPERLINK("tel:01204 392 881")</f>
        <v>0</v>
      </c>
    </row>
    <row r="50" spans="1:7">
      <c r="A50" t="s">
        <v>55</v>
      </c>
      <c r="B50">
        <f>HYPERLINK("tel:07738 085 355")</f>
        <v>0</v>
      </c>
      <c r="C50" t="s">
        <v>539</v>
      </c>
      <c r="D50">
        <f>HYPERLINK("https://www.policestationreps.com/reps.php?ID=120&amp;venue=Bolton Crown Court&amp;pocoone=TTkgNkFQ&amp;pocotwo=BL1 1SU")</f>
        <v>0</v>
      </c>
      <c r="E50" t="s">
        <v>545</v>
      </c>
      <c r="F50">
        <f>HYPERLINK("https://www.google.com/maps/search/Blackhorse Street, Greater Manchester BL1 1SU")</f>
        <v>0</v>
      </c>
      <c r="G50">
        <f>HYPERLINK("tel:01204 392 881")</f>
        <v>0</v>
      </c>
    </row>
    <row r="51" spans="1:7">
      <c r="A51" t="s">
        <v>56</v>
      </c>
      <c r="B51">
        <f>HYPERLINK("tel:07730 418 788")</f>
        <v>0</v>
      </c>
      <c r="C51" t="s">
        <v>540</v>
      </c>
      <c r="D51">
        <f>HYPERLINK("https://www.policestationreps.com/reps.php?ID=2613&amp;venue=Bolton Crown Court&amp;pocoone=TTMgNE5B&amp;pocotwo=BL1 1SU")</f>
        <v>0</v>
      </c>
      <c r="E51" t="s">
        <v>545</v>
      </c>
      <c r="F51">
        <f>HYPERLINK("https://www.google.com/maps/search/Blackhorse Street, Greater Manchester BL1 1SU")</f>
        <v>0</v>
      </c>
      <c r="G51">
        <f>HYPERLINK("tel:01204 392 881")</f>
        <v>0</v>
      </c>
    </row>
    <row r="52" spans="1:7">
      <c r="A52" t="s">
        <v>57</v>
      </c>
      <c r="B52">
        <f>HYPERLINK("tel:07394 153 899")</f>
        <v>0</v>
      </c>
      <c r="C52" t="s">
        <v>540</v>
      </c>
      <c r="D52">
        <f>HYPERLINK("https://www.policestationreps.com/reps.php?ID=13&amp;venue=Bolton Crown Court&amp;pocoone=QkIyIDNGQg==&amp;pocotwo=BL1 1SU")</f>
        <v>0</v>
      </c>
      <c r="E52" t="s">
        <v>545</v>
      </c>
      <c r="F52">
        <f>HYPERLINK("https://www.google.com/maps/search/Blackhorse Street, Greater Manchester BL1 1SU")</f>
        <v>0</v>
      </c>
      <c r="G52">
        <f>HYPERLINK("tel:01204 392 881")</f>
        <v>0</v>
      </c>
    </row>
    <row r="53" spans="1:7">
      <c r="A53" t="s">
        <v>58</v>
      </c>
      <c r="B53">
        <f>HYPERLINK("tel:07885 756 726")</f>
        <v>0</v>
      </c>
      <c r="C53" t="s">
        <v>539</v>
      </c>
      <c r="D53">
        <f>HYPERLINK("https://www.policestationreps.com/reps.php?ID=2406&amp;venue=Bolton Crown Court&amp;pocoone=QkIyIDdCUA==&amp;pocotwo=BL1 1SU")</f>
        <v>0</v>
      </c>
      <c r="E53" t="s">
        <v>545</v>
      </c>
      <c r="F53">
        <f>HYPERLINK("https://www.google.com/maps/search/Blackhorse Street, Greater Manchester BL1 1SU")</f>
        <v>0</v>
      </c>
      <c r="G53">
        <f>HYPERLINK("tel:01204 392 881")</f>
        <v>0</v>
      </c>
    </row>
    <row r="54" spans="1:7">
      <c r="A54" t="s">
        <v>59</v>
      </c>
      <c r="B54">
        <f>HYPERLINK("tel:07983 580 994")</f>
        <v>0</v>
      </c>
      <c r="C54" t="s">
        <v>540</v>
      </c>
      <c r="D54">
        <f>HYPERLINK("https://www.policestationreps.com/reps.php?ID=1449&amp;venue=Bolton Crown Court&amp;pocoone=TTYw&amp;pocotwo=BL1 1SU")</f>
        <v>0</v>
      </c>
      <c r="E54" t="s">
        <v>545</v>
      </c>
      <c r="F54">
        <f>HYPERLINK("https://www.google.com/maps/search/Blackhorse Street, Greater Manchester BL1 1SU")</f>
        <v>0</v>
      </c>
      <c r="G54">
        <f>HYPERLINK("tel:01204 392 881")</f>
        <v>0</v>
      </c>
    </row>
    <row r="55" spans="1:7">
      <c r="A55" t="s">
        <v>60</v>
      </c>
      <c r="B55">
        <f>HYPERLINK("tel:07843 169 712")</f>
        <v>0</v>
      </c>
      <c r="C55" t="s">
        <v>540</v>
      </c>
      <c r="D55">
        <f>HYPERLINK("https://www.policestationreps.com/reps.php?ID=1761&amp;venue=Bolton Crown Court&amp;pocoone=QkIxIDNIUQ==&amp;pocotwo=BL1 1SU")</f>
        <v>0</v>
      </c>
      <c r="E55" t="s">
        <v>545</v>
      </c>
      <c r="F55">
        <f>HYPERLINK("https://www.google.com/maps/search/Blackhorse Street, Greater Manchester BL1 1SU")</f>
        <v>0</v>
      </c>
      <c r="G55">
        <f>HYPERLINK("tel:01204 392 881")</f>
        <v>0</v>
      </c>
    </row>
    <row r="56" spans="1:7">
      <c r="A56" t="s">
        <v>61</v>
      </c>
      <c r="B56">
        <f>HYPERLINK("tel:07949 814 784")</f>
        <v>0</v>
      </c>
      <c r="C56" t="s">
        <v>541</v>
      </c>
      <c r="D56">
        <f>HYPERLINK("https://www.policestationreps.com/reps.php?ID=1450&amp;venue=Bolton Crown Court&amp;pocoone=QkIxIDNIVA==&amp;pocotwo=BL1 1SU")</f>
        <v>0</v>
      </c>
      <c r="E56" t="s">
        <v>545</v>
      </c>
      <c r="F56">
        <f>HYPERLINK("https://www.google.com/maps/search/Blackhorse Street, Greater Manchester BL1 1SU")</f>
        <v>0</v>
      </c>
      <c r="G56">
        <f>HYPERLINK("tel:01204 392 881")</f>
        <v>0</v>
      </c>
    </row>
    <row r="57" spans="1:7">
      <c r="A57" t="s">
        <v>62</v>
      </c>
      <c r="B57">
        <f>HYPERLINK("tel:07809 146 109")</f>
        <v>0</v>
      </c>
      <c r="C57" t="s">
        <v>539</v>
      </c>
      <c r="D57">
        <f>HYPERLINK("https://www.policestationreps.com/reps.php?ID=1937&amp;venue=Bolton Crown Court&amp;pocoone=QkIxIDFTRQ==&amp;pocotwo=BL1 1SU")</f>
        <v>0</v>
      </c>
      <c r="E57" t="s">
        <v>545</v>
      </c>
      <c r="F57">
        <f>HYPERLINK("https://www.google.com/maps/search/Blackhorse Street, Greater Manchester BL1 1SU")</f>
        <v>0</v>
      </c>
      <c r="G57">
        <f>HYPERLINK("tel:01204 392 881")</f>
        <v>0</v>
      </c>
    </row>
    <row r="58" spans="1:7">
      <c r="A58" t="s">
        <v>63</v>
      </c>
      <c r="B58">
        <f>HYPERLINK("tel:07500 556 587")</f>
        <v>0</v>
      </c>
      <c r="C58" t="s">
        <v>540</v>
      </c>
      <c r="D58">
        <f>HYPERLINK("https://www.policestationreps.com/reps.php?ID=1714&amp;venue=Bolton Crown Court&amp;pocoone=QkIxIDFTRg==&amp;pocotwo=BL1 1SU")</f>
        <v>0</v>
      </c>
      <c r="E58" t="s">
        <v>545</v>
      </c>
      <c r="F58">
        <f>HYPERLINK("https://www.google.com/maps/search/Blackhorse Street, Greater Manchester BL1 1SU")</f>
        <v>0</v>
      </c>
      <c r="G58">
        <f>HYPERLINK("tel:01204 392 881")</f>
        <v>0</v>
      </c>
    </row>
    <row r="59" spans="1:7">
      <c r="A59" t="s">
        <v>64</v>
      </c>
      <c r="B59">
        <f>HYPERLINK("tel:07546 702 693")</f>
        <v>0</v>
      </c>
      <c r="C59" t="s">
        <v>539</v>
      </c>
      <c r="D59">
        <f>HYPERLINK("https://www.policestationreps.com/reps.php?ID=2433&amp;venue=Bolton Crown Court&amp;pocoone=QkIxIDlVQQ==&amp;pocotwo=BL1 1SU")</f>
        <v>0</v>
      </c>
      <c r="E59" t="s">
        <v>545</v>
      </c>
      <c r="F59">
        <f>HYPERLINK("https://www.google.com/maps/search/Blackhorse Street, Greater Manchester BL1 1SU")</f>
        <v>0</v>
      </c>
      <c r="G59">
        <f>HYPERLINK("tel:01204 392 881")</f>
        <v>0</v>
      </c>
    </row>
    <row r="60" spans="1:7">
      <c r="A60" t="s">
        <v>65</v>
      </c>
      <c r="B60">
        <f>HYPERLINK("tel:07850 045 383")</f>
        <v>0</v>
      </c>
      <c r="C60" t="s">
        <v>539</v>
      </c>
      <c r="D60">
        <f>HYPERLINK("https://www.policestationreps.com/reps.php?ID=1381&amp;venue=Bolton Crown Court&amp;pocoone=TTEgM0JH&amp;pocotwo=BL1 1SU")</f>
        <v>0</v>
      </c>
      <c r="E60" t="s">
        <v>545</v>
      </c>
      <c r="F60">
        <f>HYPERLINK("https://www.google.com/maps/search/Blackhorse Street, Greater Manchester BL1 1SU")</f>
        <v>0</v>
      </c>
      <c r="G60">
        <f>HYPERLINK("tel:01204 392 881")</f>
        <v>0</v>
      </c>
    </row>
    <row r="61" spans="1:7">
      <c r="A61" t="s">
        <v>66</v>
      </c>
      <c r="B61">
        <f>HYPERLINK("tel:07824 700 744")</f>
        <v>0</v>
      </c>
      <c r="C61" t="s">
        <v>539</v>
      </c>
      <c r="D61">
        <f>HYPERLINK("https://www.policestationreps.com/reps.php?ID=2439&amp;venue=Bolton Crown Court&amp;pocoone=T0wxMiA2RVc=&amp;pocotwo=BL1 1SU")</f>
        <v>0</v>
      </c>
      <c r="E61" t="s">
        <v>545</v>
      </c>
      <c r="F61">
        <f>HYPERLINK("https://www.google.com/maps/search/Blackhorse Street, Greater Manchester BL1 1SU")</f>
        <v>0</v>
      </c>
      <c r="G61">
        <f>HYPERLINK("tel:01204 392 881")</f>
        <v>0</v>
      </c>
    </row>
    <row r="62" spans="1:7">
      <c r="A62" t="s">
        <v>67</v>
      </c>
      <c r="B62">
        <f>HYPERLINK("tel:07939 313 202")</f>
        <v>0</v>
      </c>
      <c r="C62" t="s">
        <v>541</v>
      </c>
      <c r="D62">
        <f>HYPERLINK("https://www.policestationreps.com/reps.php?ID=1193&amp;venue=Bolton Crown Court&amp;pocoone=T0wxMiAwU1I=&amp;pocotwo=BL1 1SU")</f>
        <v>0</v>
      </c>
      <c r="E62" t="s">
        <v>545</v>
      </c>
      <c r="F62">
        <f>HYPERLINK("https://www.google.com/maps/search/Blackhorse Street, Greater Manchester BL1 1SU")</f>
        <v>0</v>
      </c>
      <c r="G62">
        <f>HYPERLINK("tel:01204 392 881")</f>
        <v>0</v>
      </c>
    </row>
    <row r="63" spans="1:7">
      <c r="A63" t="s">
        <v>68</v>
      </c>
      <c r="B63">
        <f>HYPERLINK("tel:07913 301 535")</f>
        <v>0</v>
      </c>
      <c r="C63" t="s">
        <v>539</v>
      </c>
      <c r="D63">
        <f>HYPERLINK("https://www.policestationreps.com/reps.php?ID=1504&amp;venue=Bolton Crown Court&amp;pocoone=TTE2IDBFUA==&amp;pocotwo=BL1 1SU")</f>
        <v>0</v>
      </c>
      <c r="E63" t="s">
        <v>545</v>
      </c>
      <c r="F63">
        <f>HYPERLINK("https://www.google.com/maps/search/Blackhorse Street, Greater Manchester BL1 1SU")</f>
        <v>0</v>
      </c>
      <c r="G63">
        <f>HYPERLINK("tel:01204 392 881")</f>
        <v>0</v>
      </c>
    </row>
    <row r="64" spans="1:7">
      <c r="A64" t="s">
        <v>69</v>
      </c>
      <c r="B64">
        <f>HYPERLINK("tel:07792 055 501")</f>
        <v>0</v>
      </c>
      <c r="C64" t="s">
        <v>539</v>
      </c>
      <c r="D64">
        <f>HYPERLINK("https://www.policestationreps.com/reps.php?ID=2733&amp;venue=Bolton Crown Court&amp;pocoone=T0wxMiA5U1I=&amp;pocotwo=BL1 1SU")</f>
        <v>0</v>
      </c>
      <c r="E64" t="s">
        <v>545</v>
      </c>
      <c r="F64">
        <f>HYPERLINK("https://www.google.com/maps/search/Blackhorse Street, Greater Manchester BL1 1SU")</f>
        <v>0</v>
      </c>
      <c r="G64">
        <f>HYPERLINK("tel:01204 392 881")</f>
        <v>0</v>
      </c>
    </row>
    <row r="65" spans="1:7">
      <c r="A65" t="s">
        <v>70</v>
      </c>
      <c r="B65">
        <f>HYPERLINK("tel:07760 392 721")</f>
        <v>0</v>
      </c>
      <c r="C65" t="s">
        <v>540</v>
      </c>
      <c r="D65">
        <f>HYPERLINK("https://www.policestationreps.com/reps.php?ID=175&amp;venue=Bolton Crown Court&amp;pocoone=TTE2IDhGVw==&amp;pocotwo=BL1 1SU")</f>
        <v>0</v>
      </c>
      <c r="E65" t="s">
        <v>545</v>
      </c>
      <c r="F65">
        <f>HYPERLINK("https://www.google.com/maps/search/Blackhorse Street, Greater Manchester BL1 1SU")</f>
        <v>0</v>
      </c>
      <c r="G65">
        <f>HYPERLINK("tel:01204 392 881")</f>
        <v>0</v>
      </c>
    </row>
    <row r="66" spans="1:7">
      <c r="A66" t="s">
        <v>71</v>
      </c>
      <c r="B66">
        <f>HYPERLINK("tel:07542 383 644")</f>
        <v>0</v>
      </c>
      <c r="C66" t="s">
        <v>540</v>
      </c>
      <c r="D66">
        <f>HYPERLINK("https://www.policestationreps.com/reps.php?ID=732&amp;venue=Bolton Crown Court&amp;pocoone=V0ExMiA4UFM=&amp;pocotwo=BL1 1SU")</f>
        <v>0</v>
      </c>
      <c r="E66" t="s">
        <v>545</v>
      </c>
      <c r="F66">
        <f>HYPERLINK("https://www.google.com/maps/search/Blackhorse Street, Greater Manchester BL1 1SU")</f>
        <v>0</v>
      </c>
      <c r="G66">
        <f>HYPERLINK("tel:01204 392 881")</f>
        <v>0</v>
      </c>
    </row>
    <row r="67" spans="1:7">
      <c r="A67" t="s">
        <v>72</v>
      </c>
      <c r="B67">
        <f>HYPERLINK("tel:01618 279 500")</f>
        <v>0</v>
      </c>
      <c r="C67" t="s">
        <v>539</v>
      </c>
      <c r="D67">
        <f>HYPERLINK("https://www.policestationreps.com/reps.php?ID=2226&amp;venue=Bolton Crown Court&amp;pocoone=TTQwIDVBRw==&amp;pocotwo=BL1 1SU")</f>
        <v>0</v>
      </c>
      <c r="E67" t="s">
        <v>545</v>
      </c>
      <c r="F67">
        <f>HYPERLINK("https://www.google.com/maps/search/Blackhorse Street, Greater Manchester BL1 1SU")</f>
        <v>0</v>
      </c>
      <c r="G67">
        <f>HYPERLINK("tel:01204 392 881")</f>
        <v>0</v>
      </c>
    </row>
    <row r="68" spans="1:7">
      <c r="A68" t="s">
        <v>73</v>
      </c>
      <c r="B68">
        <f>HYPERLINK("tel:07725 819 549")</f>
        <v>0</v>
      </c>
      <c r="C68" t="s">
        <v>540</v>
      </c>
      <c r="D68">
        <f>HYPERLINK("https://www.policestationreps.com/reps.php?ID=199&amp;venue=Bolton Crown Court&amp;pocoone=TTE2IDhRUA==&amp;pocotwo=BL1 1SU")</f>
        <v>0</v>
      </c>
      <c r="E68" t="s">
        <v>545</v>
      </c>
      <c r="F68">
        <f>HYPERLINK("https://www.google.com/maps/search/Blackhorse Street, Greater Manchester BL1 1SU")</f>
        <v>0</v>
      </c>
      <c r="G68">
        <f>HYPERLINK("tel:01204 392 881")</f>
        <v>0</v>
      </c>
    </row>
    <row r="69" spans="1:7">
      <c r="A69" t="s">
        <v>74</v>
      </c>
      <c r="B69">
        <f>HYPERLINK("tel:07803 762 303")</f>
        <v>0</v>
      </c>
      <c r="C69" t="s">
        <v>541</v>
      </c>
      <c r="D69">
        <f>HYPERLINK("https://www.policestationreps.com/reps.php?ID=2603&amp;venue=Bolton Crown Court&amp;pocoone=QkI1IDBKRA==&amp;pocotwo=BL1 1SU")</f>
        <v>0</v>
      </c>
      <c r="E69" t="s">
        <v>545</v>
      </c>
      <c r="F69">
        <f>HYPERLINK("https://www.google.com/maps/search/Blackhorse Street, Greater Manchester BL1 1SU")</f>
        <v>0</v>
      </c>
      <c r="G69">
        <f>HYPERLINK("tel:01204 392 881")</f>
        <v>0</v>
      </c>
    </row>
    <row r="70" spans="1:7">
      <c r="A70" t="s">
        <v>75</v>
      </c>
      <c r="B70">
        <f>HYPERLINK("tel:07595 511 441")</f>
        <v>0</v>
      </c>
      <c r="C70" t="s">
        <v>539</v>
      </c>
      <c r="D70">
        <f>HYPERLINK("https://www.policestationreps.com/reps.php?ID=2005&amp;venue=Bolton Crown Court&amp;pocoone=TTMzIDNUUg==&amp;pocotwo=BL1 1SU")</f>
        <v>0</v>
      </c>
      <c r="E70" t="s">
        <v>545</v>
      </c>
      <c r="F70">
        <f>HYPERLINK("https://www.google.com/maps/search/Blackhorse Street, Greater Manchester BL1 1SU")</f>
        <v>0</v>
      </c>
      <c r="G70">
        <f>HYPERLINK("tel:01204 392 881")</f>
        <v>0</v>
      </c>
    </row>
    <row r="71" spans="1:7">
      <c r="A71" t="s">
        <v>76</v>
      </c>
      <c r="B71">
        <f>HYPERLINK("tel:07554 185 875")</f>
        <v>0</v>
      </c>
      <c r="C71" t="s">
        <v>539</v>
      </c>
      <c r="D71">
        <f>HYPERLINK("https://www.policestationreps.com/reps.php?ID=2744&amp;venue=Bolton Crown Court&amp;pocoone=T0w5IDZKSA==&amp;pocotwo=BL1 1SU")</f>
        <v>0</v>
      </c>
      <c r="E71" t="s">
        <v>545</v>
      </c>
      <c r="F71">
        <f>HYPERLINK("https://www.google.com/maps/search/Blackhorse Street, Greater Manchester BL1 1SU")</f>
        <v>0</v>
      </c>
      <c r="G71">
        <f>HYPERLINK("tel:01204 392 881")</f>
        <v>0</v>
      </c>
    </row>
    <row r="72" spans="1:7">
      <c r="A72" t="s">
        <v>77</v>
      </c>
      <c r="B72">
        <f>HYPERLINK("tel:07515 019 355")</f>
        <v>0</v>
      </c>
      <c r="C72" t="s">
        <v>541</v>
      </c>
      <c r="D72">
        <f>HYPERLINK("https://www.policestationreps.com/reps.php?ID=996&amp;venue=Bolton Crown Court&amp;pocoone=TTIxIDhCVQ==&amp;pocotwo=BL1 1SU")</f>
        <v>0</v>
      </c>
      <c r="E72" t="s">
        <v>545</v>
      </c>
      <c r="F72">
        <f>HYPERLINK("https://www.google.com/maps/search/Blackhorse Street, Greater Manchester BL1 1SU")</f>
        <v>0</v>
      </c>
      <c r="G72">
        <f>HYPERLINK("tel:01204 392 881")</f>
        <v>0</v>
      </c>
    </row>
    <row r="73" spans="1:7">
      <c r="A73" t="s">
        <v>78</v>
      </c>
      <c r="B73">
        <f>HYPERLINK("tel:07572 656 421")</f>
        <v>0</v>
      </c>
      <c r="C73" t="s">
        <v>540</v>
      </c>
      <c r="D73">
        <f>HYPERLINK("https://www.policestationreps.com/reps.php?ID=1727&amp;venue=Bolton Crown Court&amp;pocoone=TTEyIDZOVQ==&amp;pocotwo=BL1 1SU")</f>
        <v>0</v>
      </c>
      <c r="E73" t="s">
        <v>545</v>
      </c>
      <c r="F73">
        <f>HYPERLINK("https://www.google.com/maps/search/Blackhorse Street, Greater Manchester BL1 1SU")</f>
        <v>0</v>
      </c>
      <c r="G73">
        <f>HYPERLINK("tel:01204 392 881")</f>
        <v>0</v>
      </c>
    </row>
    <row r="74" spans="1:7">
      <c r="A74" t="s">
        <v>79</v>
      </c>
      <c r="B74">
        <f>HYPERLINK("tel:07851 224 188")</f>
        <v>0</v>
      </c>
      <c r="C74" t="s">
        <v>540</v>
      </c>
      <c r="D74">
        <f>HYPERLINK("https://www.policestationreps.com/reps.php?ID=2095&amp;venue=Bolton Crown Court&amp;pocoone=T0w5IDZKSA==&amp;pocotwo=BL1 1SU")</f>
        <v>0</v>
      </c>
      <c r="E74" t="s">
        <v>545</v>
      </c>
      <c r="F74">
        <f>HYPERLINK("https://www.google.com/maps/search/Blackhorse Street, Greater Manchester BL1 1SU")</f>
        <v>0</v>
      </c>
      <c r="G74">
        <f>HYPERLINK("tel:01204 392 881")</f>
        <v>0</v>
      </c>
    </row>
    <row r="75" spans="1:7">
      <c r="A75" t="s">
        <v>80</v>
      </c>
      <c r="B75">
        <f>HYPERLINK("tel:07593 939 963")</f>
        <v>0</v>
      </c>
      <c r="C75" t="s">
        <v>539</v>
      </c>
      <c r="D75">
        <f>HYPERLINK("https://www.policestationreps.com/reps.php?ID=2687&amp;venue=Bolton Crown Court&amp;pocoone=TTEzIDBCUA==&amp;pocotwo=BL1 1SU")</f>
        <v>0</v>
      </c>
      <c r="E75" t="s">
        <v>545</v>
      </c>
      <c r="F75">
        <f>HYPERLINK("https://www.google.com/maps/search/Blackhorse Street, Greater Manchester BL1 1SU")</f>
        <v>0</v>
      </c>
      <c r="G75">
        <f>HYPERLINK("tel:01204 392 881")</f>
        <v>0</v>
      </c>
    </row>
    <row r="76" spans="1:7">
      <c r="A76" t="s">
        <v>81</v>
      </c>
      <c r="B76">
        <f>HYPERLINK("tel:07950 400 971")</f>
        <v>0</v>
      </c>
      <c r="C76" t="s">
        <v>540</v>
      </c>
      <c r="D76">
        <f>HYPERLINK("https://www.policestationreps.com/reps.php?ID=2339&amp;venue=Bolton Crown Court&amp;pocoone=TTMzIDJMSg==&amp;pocotwo=BL1 1SU")</f>
        <v>0</v>
      </c>
      <c r="E76" t="s">
        <v>545</v>
      </c>
      <c r="F76">
        <f>HYPERLINK("https://www.google.com/maps/search/Blackhorse Street, Greater Manchester BL1 1SU")</f>
        <v>0</v>
      </c>
      <c r="G76">
        <f>HYPERLINK("tel:01204 392 881")</f>
        <v>0</v>
      </c>
    </row>
    <row r="77" spans="1:7">
      <c r="A77" t="s">
        <v>82</v>
      </c>
      <c r="B77">
        <f>HYPERLINK("tel:07754 003 624")</f>
        <v>0</v>
      </c>
      <c r="C77" t="s">
        <v>540</v>
      </c>
      <c r="D77">
        <f>HYPERLINK("https://www.policestationreps.com/reps.php?ID=2580&amp;venue=Bolton Crown Court&amp;pocoone=TTIxIDBZSg==&amp;pocotwo=BL1 1SU")</f>
        <v>0</v>
      </c>
      <c r="E77" t="s">
        <v>545</v>
      </c>
      <c r="F77">
        <f>HYPERLINK("https://www.google.com/maps/search/Blackhorse Street, Greater Manchester BL1 1SU")</f>
        <v>0</v>
      </c>
      <c r="G77">
        <f>HYPERLINK("tel:01204 392 881")</f>
        <v>0</v>
      </c>
    </row>
    <row r="78" spans="1:7">
      <c r="A78" t="s">
        <v>83</v>
      </c>
      <c r="B78">
        <f>HYPERLINK("tel:07969 884 881")</f>
        <v>0</v>
      </c>
      <c r="C78" t="s">
        <v>539</v>
      </c>
      <c r="D78">
        <f>HYPERLINK("https://www.policestationreps.com/reps.php?ID=2801&amp;venue=Bolton Crown Court&amp;pocoone=UFI1IDRRTg==&amp;pocotwo=BL1 1SU")</f>
        <v>0</v>
      </c>
      <c r="E78" t="s">
        <v>545</v>
      </c>
      <c r="F78">
        <f>HYPERLINK("https://www.google.com/maps/search/Blackhorse Street, Greater Manchester BL1 1SU")</f>
        <v>0</v>
      </c>
      <c r="G78">
        <f>HYPERLINK("tel:01204 392 881")</f>
        <v>0</v>
      </c>
    </row>
    <row r="79" spans="1:7">
      <c r="A79" t="s">
        <v>84</v>
      </c>
      <c r="B79">
        <f>HYPERLINK("tel:07793 064 973")</f>
        <v>0</v>
      </c>
      <c r="C79" t="s">
        <v>539</v>
      </c>
      <c r="D79">
        <f>HYPERLINK("https://www.policestationreps.com/reps.php?ID=2123&amp;venue=Bolton Crown Court&amp;pocoone=T0wxNiAyRVI=&amp;pocotwo=BL1 1SU")</f>
        <v>0</v>
      </c>
      <c r="E79" t="s">
        <v>545</v>
      </c>
      <c r="F79">
        <f>HYPERLINK("https://www.google.com/maps/search/Blackhorse Street, Greater Manchester BL1 1SU")</f>
        <v>0</v>
      </c>
      <c r="G79">
        <f>HYPERLINK("tel:01204 392 881")</f>
        <v>0</v>
      </c>
    </row>
    <row r="80" spans="1:7">
      <c r="A80" t="s">
        <v>85</v>
      </c>
      <c r="B80">
        <f>HYPERLINK("tel:07515 284 280")</f>
        <v>0</v>
      </c>
      <c r="C80" t="s">
        <v>540</v>
      </c>
      <c r="D80">
        <f>HYPERLINK("https://www.policestationreps.com/reps.php?ID=317&amp;venue=Bolton Crown Court&amp;pocoone=TTMzIDJBTA==&amp;pocotwo=BL1 1SU")</f>
        <v>0</v>
      </c>
      <c r="E80" t="s">
        <v>545</v>
      </c>
      <c r="F80">
        <f>HYPERLINK("https://www.google.com/maps/search/Blackhorse Street, Greater Manchester BL1 1SU")</f>
        <v>0</v>
      </c>
      <c r="G80">
        <f>HYPERLINK("tel:01204 392 881")</f>
        <v>0</v>
      </c>
    </row>
    <row r="81" spans="1:7">
      <c r="A81" t="s">
        <v>86</v>
      </c>
      <c r="B81">
        <f>HYPERLINK("tel:07788 231 636")</f>
        <v>0</v>
      </c>
      <c r="C81" t="s">
        <v>540</v>
      </c>
      <c r="D81">
        <f>HYPERLINK("https://www.policestationreps.com/reps.php?ID=1374&amp;venue=Bolton Crown Court&amp;pocoone=T0wxMyA4Tkw=&amp;pocotwo=BL1 1SU")</f>
        <v>0</v>
      </c>
      <c r="E81" t="s">
        <v>545</v>
      </c>
      <c r="F81">
        <f>HYPERLINK("https://www.google.com/maps/search/Blackhorse Street, Greater Manchester BL1 1SU")</f>
        <v>0</v>
      </c>
      <c r="G81">
        <f>HYPERLINK("tel:01204 392 881")</f>
        <v>0</v>
      </c>
    </row>
    <row r="82" spans="1:7">
      <c r="A82" t="s">
        <v>87</v>
      </c>
      <c r="B82">
        <f>HYPERLINK("tel:07515 284 281")</f>
        <v>0</v>
      </c>
      <c r="C82" t="s">
        <v>540</v>
      </c>
      <c r="D82">
        <f>HYPERLINK("https://www.policestationreps.com/reps.php?ID=902&amp;venue=Bolton Crown Court&amp;pocoone=TTMzIDJBTA==&amp;pocotwo=BL1 1SU")</f>
        <v>0</v>
      </c>
      <c r="E82" t="s">
        <v>545</v>
      </c>
      <c r="F82">
        <f>HYPERLINK("https://www.google.com/maps/search/Blackhorse Street, Greater Manchester BL1 1SU")</f>
        <v>0</v>
      </c>
      <c r="G82">
        <f>HYPERLINK("tel:01204 392 881")</f>
        <v>0</v>
      </c>
    </row>
    <row r="83" spans="1:7">
      <c r="A83" t="s">
        <v>88</v>
      </c>
      <c r="B83">
        <f>HYPERLINK("tel:07801 708 374")</f>
        <v>0</v>
      </c>
      <c r="C83" t="s">
        <v>540</v>
      </c>
      <c r="D83">
        <f>HYPERLINK("https://www.policestationreps.com/reps.php?ID=452&amp;venue=Bolton Crown Court&amp;pocoone=TTMzIDZXVA==&amp;pocotwo=BL1 1SU")</f>
        <v>0</v>
      </c>
      <c r="E83" t="s">
        <v>545</v>
      </c>
      <c r="F83">
        <f>HYPERLINK("https://www.google.com/maps/search/Blackhorse Street, Greater Manchester BL1 1SU")</f>
        <v>0</v>
      </c>
      <c r="G83">
        <f>HYPERLINK("tel:01204 392 881")</f>
        <v>0</v>
      </c>
    </row>
    <row r="84" spans="1:7">
      <c r="A84" t="s">
        <v>89</v>
      </c>
      <c r="B84">
        <f>HYPERLINK("tel:07979 182 450")</f>
        <v>0</v>
      </c>
      <c r="C84" t="s">
        <v>539</v>
      </c>
      <c r="D84">
        <f>HYPERLINK("https://www.policestationreps.com/reps.php?ID=1512&amp;venue=Bolton Crown Court&amp;pocoone=T0w5IDhSUQ==&amp;pocotwo=BL1 1SU")</f>
        <v>0</v>
      </c>
      <c r="E84" t="s">
        <v>545</v>
      </c>
      <c r="F84">
        <f>HYPERLINK("https://www.google.com/maps/search/Blackhorse Street, Greater Manchester BL1 1SU")</f>
        <v>0</v>
      </c>
      <c r="G84">
        <f>HYPERLINK("tel:01204 392 881")</f>
        <v>0</v>
      </c>
    </row>
    <row r="85" spans="1:7">
      <c r="A85" t="s">
        <v>90</v>
      </c>
      <c r="B85">
        <f>HYPERLINK("tel:07479 912 667")</f>
        <v>0</v>
      </c>
      <c r="C85" t="s">
        <v>541</v>
      </c>
      <c r="D85">
        <f>HYPERLINK("https://www.policestationreps.com/reps.php?ID=2809&amp;venue=Bolton Crown Court&amp;pocoone=T0wxIDNTWg==&amp;pocotwo=BL1 1SU")</f>
        <v>0</v>
      </c>
      <c r="E85" t="s">
        <v>545</v>
      </c>
      <c r="F85">
        <f>HYPERLINK("https://www.google.com/maps/search/Blackhorse Street, Greater Manchester BL1 1SU")</f>
        <v>0</v>
      </c>
      <c r="G85">
        <f>HYPERLINK("tel:01204 392 881")</f>
        <v>0</v>
      </c>
    </row>
    <row r="86" spans="1:7">
      <c r="A86" t="s">
        <v>91</v>
      </c>
      <c r="B86">
        <f>HYPERLINK("tel:07590 817 099")</f>
        <v>0</v>
      </c>
      <c r="C86" t="s">
        <v>540</v>
      </c>
      <c r="D86">
        <f>HYPERLINK("https://www.policestationreps.com/reps.php?ID=1793&amp;venue=Bolton Crown Court&amp;pocoone=TTQzIDZIQQ==&amp;pocotwo=BL1 1SU")</f>
        <v>0</v>
      </c>
      <c r="E86" t="s">
        <v>545</v>
      </c>
      <c r="F86">
        <f>HYPERLINK("https://www.google.com/maps/search/Blackhorse Street, Greater Manchester BL1 1SU")</f>
        <v>0</v>
      </c>
      <c r="G86">
        <f>HYPERLINK("tel:01204 392 881")</f>
        <v>0</v>
      </c>
    </row>
    <row r="87" spans="1:7">
      <c r="A87" t="s">
        <v>92</v>
      </c>
      <c r="B87">
        <f>HYPERLINK("tel:07940 391 818")</f>
        <v>0</v>
      </c>
      <c r="C87" t="s">
        <v>539</v>
      </c>
      <c r="D87">
        <f>HYPERLINK("https://www.policestationreps.com/reps.php?ID=2475&amp;venue=Bolton Crown Court&amp;pocoone=TTIwIDZVRw==&amp;pocotwo=BL1 1SU")</f>
        <v>0</v>
      </c>
      <c r="E87" t="s">
        <v>545</v>
      </c>
      <c r="F87">
        <f>HYPERLINK("https://www.google.com/maps/search/Blackhorse Street, Greater Manchester BL1 1SU")</f>
        <v>0</v>
      </c>
      <c r="G87">
        <f>HYPERLINK("tel:01204 392 881")</f>
        <v>0</v>
      </c>
    </row>
    <row r="88" spans="1:7">
      <c r="A88" t="s">
        <v>93</v>
      </c>
      <c r="B88">
        <f>HYPERLINK("tel:07813 025 864")</f>
        <v>0</v>
      </c>
      <c r="C88" t="s">
        <v>539</v>
      </c>
      <c r="D88">
        <f>HYPERLINK("https://www.policestationreps.com/reps.php?ID=1391&amp;venue=Bolton Crown Court&amp;pocoone=QkI2IDdQSg==&amp;pocotwo=BL1 1SU")</f>
        <v>0</v>
      </c>
      <c r="E88" t="s">
        <v>545</v>
      </c>
      <c r="F88">
        <f>HYPERLINK("https://www.google.com/maps/search/Blackhorse Street, Greater Manchester BL1 1SU")</f>
        <v>0</v>
      </c>
      <c r="G88">
        <f>HYPERLINK("tel:01204 392 881")</f>
        <v>0</v>
      </c>
    </row>
    <row r="89" spans="1:7">
      <c r="A89" t="s">
        <v>94</v>
      </c>
      <c r="B89">
        <f>HYPERLINK("tel:07939 289 593")</f>
        <v>0</v>
      </c>
      <c r="C89" t="s">
        <v>539</v>
      </c>
      <c r="D89">
        <f>HYPERLINK("https://www.policestationreps.com/reps.php?ID=2667&amp;venue=Bolton Crown Court&amp;pocoone=V044IDZCRQ==&amp;pocotwo=BL1 1SU")</f>
        <v>0</v>
      </c>
      <c r="E89" t="s">
        <v>545</v>
      </c>
      <c r="F89">
        <f>HYPERLINK("https://www.google.com/maps/search/Blackhorse Street, Greater Manchester BL1 1SU")</f>
        <v>0</v>
      </c>
      <c r="G89">
        <f>HYPERLINK("tel:01204 392 881")</f>
        <v>0</v>
      </c>
    </row>
    <row r="90" spans="1:7">
      <c r="A90" t="s">
        <v>95</v>
      </c>
      <c r="B90">
        <f>HYPERLINK("tel:07463 822 132")</f>
        <v>0</v>
      </c>
      <c r="C90" t="s">
        <v>539</v>
      </c>
      <c r="D90">
        <f>HYPERLINK("https://www.policestationreps.com/reps.php?ID=1856&amp;venue=Bolton Crown Court&amp;pocoone=T0wyIDdZUQ==&amp;pocotwo=BL1 1SU")</f>
        <v>0</v>
      </c>
      <c r="E90" t="s">
        <v>545</v>
      </c>
      <c r="F90">
        <f>HYPERLINK("https://www.google.com/maps/search/Blackhorse Street, Greater Manchester BL1 1SU")</f>
        <v>0</v>
      </c>
      <c r="G90">
        <f>HYPERLINK("tel:01204 392 881")</f>
        <v>0</v>
      </c>
    </row>
    <row r="91" spans="1:7">
      <c r="A91" t="s">
        <v>96</v>
      </c>
      <c r="B91">
        <f>HYPERLINK("tel:07736 269 585")</f>
        <v>0</v>
      </c>
      <c r="C91" t="s">
        <v>540</v>
      </c>
      <c r="D91">
        <f>HYPERLINK("https://www.policestationreps.com/reps.php?ID=233&amp;venue=Bolton Crown Court&amp;pocoone=TTIwIDNIRQ==&amp;pocotwo=BL1 1SU")</f>
        <v>0</v>
      </c>
      <c r="E91" t="s">
        <v>545</v>
      </c>
      <c r="F91">
        <f>HYPERLINK("https://www.google.com/maps/search/Blackhorse Street, Greater Manchester BL1 1SU")</f>
        <v>0</v>
      </c>
      <c r="G91">
        <f>HYPERLINK("tel:01204 392 881")</f>
        <v>0</v>
      </c>
    </row>
    <row r="92" spans="1:7">
      <c r="A92" t="s">
        <v>97</v>
      </c>
      <c r="B92">
        <f>HYPERLINK("tel:07803 955 416")</f>
        <v>0</v>
      </c>
      <c r="C92" t="s">
        <v>539</v>
      </c>
      <c r="D92">
        <f>HYPERLINK("https://www.policestationreps.com/reps.php?ID=1736&amp;venue=Bolton Crown Court&amp;pocoone=TTIwIDJSVA==&amp;pocotwo=BL1 1SU")</f>
        <v>0</v>
      </c>
      <c r="E92" t="s">
        <v>545</v>
      </c>
      <c r="F92">
        <f>HYPERLINK("https://www.google.com/maps/search/Blackhorse Street, Greater Manchester BL1 1SU")</f>
        <v>0</v>
      </c>
      <c r="G92">
        <f>HYPERLINK("tel:01204 392 881")</f>
        <v>0</v>
      </c>
    </row>
    <row r="93" spans="1:7">
      <c r="A93" t="s">
        <v>98</v>
      </c>
      <c r="B93">
        <f>HYPERLINK("tel:07872 830 078")</f>
        <v>0</v>
      </c>
      <c r="C93" t="s">
        <v>539</v>
      </c>
      <c r="D93">
        <f>HYPERLINK("https://www.policestationreps.com/reps.php?ID=2088&amp;venue=Bolton Crown Court&amp;pocoone=T0wxIDRQRw==&amp;pocotwo=BL1 1SU")</f>
        <v>0</v>
      </c>
      <c r="E93" t="s">
        <v>545</v>
      </c>
      <c r="F93">
        <f>HYPERLINK("https://www.google.com/maps/search/Blackhorse Street, Greater Manchester BL1 1SU")</f>
        <v>0</v>
      </c>
      <c r="G93">
        <f>HYPERLINK("tel:01204 392 881")</f>
        <v>0</v>
      </c>
    </row>
    <row r="94" spans="1:7">
      <c r="A94" t="s">
        <v>99</v>
      </c>
      <c r="B94">
        <f>HYPERLINK("tel:07530 856 375")</f>
        <v>0</v>
      </c>
      <c r="C94" t="s">
        <v>539</v>
      </c>
      <c r="D94">
        <f>HYPERLINK("https://www.policestationreps.com/reps.php?ID=1489&amp;venue=Bolton Crown Court&amp;pocoone=V0ExIDRKWg==&amp;pocotwo=BL1 1SU")</f>
        <v>0</v>
      </c>
      <c r="E94" t="s">
        <v>545</v>
      </c>
      <c r="F94">
        <f>HYPERLINK("https://www.google.com/maps/search/Blackhorse Street, Greater Manchester BL1 1SU")</f>
        <v>0</v>
      </c>
      <c r="G94">
        <f>HYPERLINK("tel:01204 392 881")</f>
        <v>0</v>
      </c>
    </row>
    <row r="95" spans="1:7">
      <c r="A95" t="s">
        <v>100</v>
      </c>
      <c r="B95">
        <f>HYPERLINK("tel:07530 439 967")</f>
        <v>0</v>
      </c>
      <c r="C95" t="s">
        <v>539</v>
      </c>
      <c r="D95">
        <f>HYPERLINK("https://www.policestationreps.com/reps.php?ID=910&amp;venue=Bolton Crown Court&amp;pocoone=TTIwIDFGTg==&amp;pocotwo=BL1 1SU")</f>
        <v>0</v>
      </c>
      <c r="E95" t="s">
        <v>545</v>
      </c>
      <c r="F95">
        <f>HYPERLINK("https://www.google.com/maps/search/Blackhorse Street, Greater Manchester BL1 1SU")</f>
        <v>0</v>
      </c>
      <c r="G95">
        <f>HYPERLINK("tel:01204 392 881")</f>
        <v>0</v>
      </c>
    </row>
    <row r="96" spans="1:7">
      <c r="A96" t="s">
        <v>101</v>
      </c>
      <c r="B96">
        <f>HYPERLINK("tel:0777- 232 -7779")</f>
        <v>0</v>
      </c>
      <c r="C96" t="s">
        <v>540</v>
      </c>
      <c r="D96">
        <f>HYPERLINK("https://www.policestationreps.com/reps.php?ID=330&amp;venue=Bolton Crown Court&amp;pocoone=V0ExNSA3REE=&amp;pocotwo=BL1 1SU")</f>
        <v>0</v>
      </c>
      <c r="E96" t="s">
        <v>545</v>
      </c>
      <c r="F96">
        <f>HYPERLINK("https://www.google.com/maps/search/Blackhorse Street, Greater Manchester BL1 1SU")</f>
        <v>0</v>
      </c>
      <c r="G96">
        <f>HYPERLINK("tel:01204 392 881")</f>
        <v>0</v>
      </c>
    </row>
    <row r="97" spans="1:7">
      <c r="A97" t="s">
        <v>102</v>
      </c>
      <c r="B97">
        <f>HYPERLINK("tel:07876 764 671")</f>
        <v>0</v>
      </c>
      <c r="C97" t="s">
        <v>539</v>
      </c>
      <c r="D97">
        <f>HYPERLINK("https://www.policestationreps.com/reps.php?ID=1580&amp;venue=Bolton Crown Court&amp;pocoone=V0ExNSA3UEw=&amp;pocotwo=BL1 1SU")</f>
        <v>0</v>
      </c>
      <c r="E97" t="s">
        <v>545</v>
      </c>
      <c r="F97">
        <f>HYPERLINK("https://www.google.com/maps/search/Blackhorse Street, Greater Manchester BL1 1SU")</f>
        <v>0</v>
      </c>
      <c r="G97">
        <f>HYPERLINK("tel:01204 392 881")</f>
        <v>0</v>
      </c>
    </row>
    <row r="98" spans="1:7">
      <c r="A98" t="s">
        <v>103</v>
      </c>
      <c r="B98">
        <f>HYPERLINK("tel:07568 135 402")</f>
        <v>0</v>
      </c>
      <c r="C98" t="s">
        <v>540</v>
      </c>
      <c r="D98">
        <f>HYPERLINK("https://www.policestationreps.com/reps.php?ID=1700&amp;venue=Bolton Crown Court&amp;pocoone=V0ExNSAwUlc=&amp;pocotwo=BL1 1SU")</f>
        <v>0</v>
      </c>
      <c r="E98" t="s">
        <v>545</v>
      </c>
      <c r="F98">
        <f>HYPERLINK("https://www.google.com/maps/search/Blackhorse Street, Greater Manchester BL1 1SU")</f>
        <v>0</v>
      </c>
      <c r="G98">
        <f>HYPERLINK("tel:01204 392 881")</f>
        <v>0</v>
      </c>
    </row>
    <row r="99" spans="1:7">
      <c r="A99" t="s">
        <v>104</v>
      </c>
      <c r="B99">
        <f>HYPERLINK("tel:07957 581 571")</f>
        <v>0</v>
      </c>
      <c r="C99" t="s">
        <v>540</v>
      </c>
      <c r="D99">
        <f>HYPERLINK("https://www.policestationreps.com/reps.php?ID=119&amp;venue=Bolton Crown Court&amp;pocoone=TTE5IDFHTA==&amp;pocotwo=BL1 1SU")</f>
        <v>0</v>
      </c>
      <c r="E99" t="s">
        <v>545</v>
      </c>
      <c r="F99">
        <f>HYPERLINK("https://www.google.com/maps/search/Blackhorse Street, Greater Manchester BL1 1SU")</f>
        <v>0</v>
      </c>
      <c r="G99">
        <f>HYPERLINK("tel:01204 392 881")</f>
        <v>0</v>
      </c>
    </row>
    <row r="100" spans="1:7">
      <c r="A100" t="s">
        <v>105</v>
      </c>
      <c r="B100">
        <f>HYPERLINK("tel:07478 944 885")</f>
        <v>0</v>
      </c>
      <c r="C100" t="s">
        <v>539</v>
      </c>
      <c r="D100">
        <f>HYPERLINK("https://www.policestationreps.com/reps.php?ID=2618&amp;venue=Bolton Crown Court&amp;pocoone=V0E5IDVGUQ==&amp;pocotwo=BL1 1SU")</f>
        <v>0</v>
      </c>
      <c r="E100" t="s">
        <v>545</v>
      </c>
      <c r="F100">
        <f>HYPERLINK("https://www.google.com/maps/search/Blackhorse Street, Greater Manchester BL1 1SU")</f>
        <v>0</v>
      </c>
      <c r="G100">
        <f>HYPERLINK("tel:01204 392 881")</f>
        <v>0</v>
      </c>
    </row>
    <row r="101" spans="1:7">
      <c r="A101" t="s">
        <v>106</v>
      </c>
      <c r="B101">
        <f>HYPERLINK("tel:07422 681 368")</f>
        <v>0</v>
      </c>
      <c r="C101" t="s">
        <v>541</v>
      </c>
      <c r="D101">
        <f>HYPERLINK("https://www.policestationreps.com/reps.php?ID=2262&amp;venue=Bolton Crown Court&amp;pocoone=V0ExNSA5Qlg=&amp;pocotwo=BL1 1SU")</f>
        <v>0</v>
      </c>
      <c r="E101" t="s">
        <v>545</v>
      </c>
      <c r="F101">
        <f>HYPERLINK("https://www.google.com/maps/search/Blackhorse Street, Greater Manchester BL1 1SU")</f>
        <v>0</v>
      </c>
      <c r="G101">
        <f>HYPERLINK("tel:01204 392 881")</f>
        <v>0</v>
      </c>
    </row>
    <row r="102" spans="1:7">
      <c r="A102" t="s">
        <v>107</v>
      </c>
      <c r="B102">
        <f>HYPERLINK("tel:07552 491 459")</f>
        <v>0</v>
      </c>
      <c r="C102" t="s">
        <v>539</v>
      </c>
      <c r="D102">
        <f>HYPERLINK("https://www.policestationreps.com/reps.php?ID=2732&amp;venue=Bolton Crown Court&amp;pocoone=V0E1IDNZTg==&amp;pocotwo=BL1 1SU")</f>
        <v>0</v>
      </c>
      <c r="E102" t="s">
        <v>545</v>
      </c>
      <c r="F102">
        <f>HYPERLINK("https://www.google.com/maps/search/Blackhorse Street, Greater Manchester BL1 1SU")</f>
        <v>0</v>
      </c>
      <c r="G102">
        <f>HYPERLINK("tel:01204 392 881")</f>
        <v>0</v>
      </c>
    </row>
    <row r="103" spans="1:7">
      <c r="A103" t="s">
        <v>108</v>
      </c>
      <c r="B103">
        <f>HYPERLINK("tel:07817 093 929")</f>
        <v>0</v>
      </c>
      <c r="C103" t="s">
        <v>540</v>
      </c>
      <c r="D103">
        <f>HYPERLINK("https://www.policestationreps.com/reps.php?ID=2300&amp;venue=Bolton Crown Court&amp;pocoone=UFIxIDhKTA==&amp;pocotwo=BL1 1SU")</f>
        <v>0</v>
      </c>
      <c r="E103" t="s">
        <v>545</v>
      </c>
      <c r="F103">
        <f>HYPERLINK("https://www.google.com/maps/search/Blackhorse Street, Greater Manchester BL1 1SU")</f>
        <v>0</v>
      </c>
      <c r="G103">
        <f>HYPERLINK("tel:01204 392 881")</f>
        <v>0</v>
      </c>
    </row>
    <row r="104" spans="1:7">
      <c r="A104" t="s">
        <v>109</v>
      </c>
      <c r="B104">
        <f>HYPERLINK("tel:07887 801 063")</f>
        <v>0</v>
      </c>
      <c r="C104" t="s">
        <v>539</v>
      </c>
      <c r="D104">
        <f>HYPERLINK("https://www.policestationreps.com/reps.php?ID=2188&amp;venue=Bolton Crown Court&amp;pocoone=QkIxMiA2U1g=&amp;pocotwo=BL1 1SU")</f>
        <v>0</v>
      </c>
      <c r="E104" t="s">
        <v>545</v>
      </c>
      <c r="F104">
        <f>HYPERLINK("https://www.google.com/maps/search/Blackhorse Street, Greater Manchester BL1 1SU")</f>
        <v>0</v>
      </c>
      <c r="G104">
        <f>HYPERLINK("tel:01204 392 881")</f>
        <v>0</v>
      </c>
    </row>
    <row r="105" spans="1:7">
      <c r="A105" t="s">
        <v>110</v>
      </c>
      <c r="B105">
        <f>HYPERLINK("tel:07970 491 198")</f>
        <v>0</v>
      </c>
      <c r="C105" t="s">
        <v>539</v>
      </c>
      <c r="D105">
        <f>HYPERLINK("https://www.policestationreps.com/reps.php?ID=791&amp;venue=Bolton Crown Court&amp;pocoone=TTIyIDVGRA==&amp;pocotwo=BL1 1SU")</f>
        <v>0</v>
      </c>
      <c r="E105" t="s">
        <v>545</v>
      </c>
      <c r="F105">
        <f>HYPERLINK("https://www.google.com/maps/search/Blackhorse Street, Greater Manchester BL1 1SU")</f>
        <v>0</v>
      </c>
      <c r="G105">
        <f>HYPERLINK("tel:01204 392 881")</f>
        <v>0</v>
      </c>
    </row>
    <row r="106" spans="1:7">
      <c r="A106" t="s">
        <v>111</v>
      </c>
      <c r="B106">
        <f>HYPERLINK("tel:07960 793 884")</f>
        <v>0</v>
      </c>
      <c r="C106" t="s">
        <v>539</v>
      </c>
      <c r="D106">
        <f>HYPERLINK("https://www.policestationreps.com/reps.php?ID=1742&amp;venue=Bolton Crown Court&amp;pocoone=TTIyIDFXRQ==&amp;pocotwo=BL1 1SU")</f>
        <v>0</v>
      </c>
      <c r="E106" t="s">
        <v>545</v>
      </c>
      <c r="F106">
        <f>HYPERLINK("https://www.google.com/maps/search/Blackhorse Street, Greater Manchester BL1 1SU")</f>
        <v>0</v>
      </c>
      <c r="G106">
        <f>HYPERLINK("tel:01204 392 881")</f>
        <v>0</v>
      </c>
    </row>
    <row r="107" spans="1:7">
      <c r="A107" t="s">
        <v>112</v>
      </c>
      <c r="B107">
        <f>HYPERLINK("tel:07775 934 178")</f>
        <v>0</v>
      </c>
      <c r="C107" t="s">
        <v>540</v>
      </c>
      <c r="D107">
        <f>HYPERLINK("https://www.policestationreps.com/reps.php?ID=2247&amp;venue=Bolton Crown Court&amp;pocoone=TTIyIDRGWg==&amp;pocotwo=BL1 1SU")</f>
        <v>0</v>
      </c>
      <c r="E107" t="s">
        <v>545</v>
      </c>
      <c r="F107">
        <f>HYPERLINK("https://www.google.com/maps/search/Blackhorse Street, Greater Manchester BL1 1SU")</f>
        <v>0</v>
      </c>
      <c r="G107">
        <f>HYPERLINK("tel:01204 392 881")</f>
        <v>0</v>
      </c>
    </row>
    <row r="108" spans="1:7">
      <c r="A108" t="s">
        <v>113</v>
      </c>
      <c r="B108">
        <f>HYPERLINK("tel:07478 678 113")</f>
        <v>0</v>
      </c>
      <c r="C108" t="s">
        <v>540</v>
      </c>
      <c r="D108">
        <f>HYPERLINK("https://www.policestationreps.com/reps.php?ID=2697&amp;venue=Bolton Crown Court&amp;pocoone=TTM0IDVHSA==&amp;pocotwo=BL1 1SU")</f>
        <v>0</v>
      </c>
      <c r="E108" t="s">
        <v>545</v>
      </c>
      <c r="F108">
        <f>HYPERLINK("https://www.google.com/maps/search/Blackhorse Street, Greater Manchester BL1 1SU")</f>
        <v>0</v>
      </c>
      <c r="G108">
        <f>HYPERLINK("tel:01204 392 881")</f>
        <v>0</v>
      </c>
    </row>
    <row r="109" spans="1:7">
      <c r="A109" t="s">
        <v>114</v>
      </c>
      <c r="B109">
        <f>HYPERLINK("tel:07712 005 100")</f>
        <v>0</v>
      </c>
      <c r="C109" t="s">
        <v>539</v>
      </c>
      <c r="D109">
        <f>HYPERLINK("https://www.policestationreps.com/reps.php?ID=266&amp;venue=Bolton Crown Court&amp;pocoone=TDQwIDhIQg==&amp;pocotwo=BL1 1SU")</f>
        <v>0</v>
      </c>
      <c r="E109" t="s">
        <v>545</v>
      </c>
      <c r="F109">
        <f>HYPERLINK("https://www.google.com/maps/search/Blackhorse Street, Greater Manchester BL1 1SU")</f>
        <v>0</v>
      </c>
      <c r="G109">
        <f>HYPERLINK("tel:01204 392 881")</f>
        <v>0</v>
      </c>
    </row>
    <row r="110" spans="1:7">
      <c r="A110" t="s">
        <v>115</v>
      </c>
      <c r="B110">
        <f>HYPERLINK("tel:07872 521 524")</f>
        <v>0</v>
      </c>
      <c r="C110" t="s">
        <v>540</v>
      </c>
      <c r="D110">
        <f>HYPERLINK("https://www.policestationreps.com/reps.php?ID=1230&amp;venue=Bolton Crown Court&amp;pocoone=V0E0IDVISg==&amp;pocotwo=BL1 1SU")</f>
        <v>0</v>
      </c>
      <c r="E110" t="s">
        <v>545</v>
      </c>
      <c r="F110">
        <f>HYPERLINK("https://www.google.com/maps/search/Blackhorse Street, Greater Manchester BL1 1SU")</f>
        <v>0</v>
      </c>
      <c r="G110">
        <f>HYPERLINK("tel:01204 392 881")</f>
        <v>0</v>
      </c>
    </row>
    <row r="111" spans="1:7">
      <c r="A111" t="s">
        <v>116</v>
      </c>
      <c r="B111">
        <f>HYPERLINK("tel:07785 557 732")</f>
        <v>0</v>
      </c>
      <c r="C111" t="s">
        <v>539</v>
      </c>
      <c r="D111">
        <f>HYPERLINK("https://www.policestationreps.com/reps.php?ID=935&amp;venue=Bolton Crown Court&amp;pocoone=U0s4IDRFRA==&amp;pocotwo=BL1 1SU")</f>
        <v>0</v>
      </c>
      <c r="E111" t="s">
        <v>545</v>
      </c>
      <c r="F111">
        <f>HYPERLINK("https://www.google.com/maps/search/Blackhorse Street, Greater Manchester BL1 1SU")</f>
        <v>0</v>
      </c>
      <c r="G111">
        <f>HYPERLINK("tel:01204 392 881")</f>
        <v>0</v>
      </c>
    </row>
    <row r="112" spans="1:7">
      <c r="A112" t="s">
        <v>117</v>
      </c>
      <c r="B112">
        <f>HYPERLINK("tel:07403 474 741")</f>
        <v>0</v>
      </c>
      <c r="C112" t="s">
        <v>539</v>
      </c>
      <c r="D112">
        <f>HYPERLINK("https://www.policestationreps.com/reps.php?ID=183&amp;venue=Bolton Crown Court&amp;pocoone=U0s4IDNFWg==&amp;pocotwo=BL1 1SU")</f>
        <v>0</v>
      </c>
      <c r="E112" t="s">
        <v>545</v>
      </c>
      <c r="F112">
        <f>HYPERLINK("https://www.google.com/maps/search/Blackhorse Street, Greater Manchester BL1 1SU")</f>
        <v>0</v>
      </c>
      <c r="G112">
        <f>HYPERLINK("tel:01204 392 881")</f>
        <v>0</v>
      </c>
    </row>
    <row r="113" spans="1:7">
      <c r="A113" t="s">
        <v>118</v>
      </c>
      <c r="B113">
        <f>HYPERLINK("tel:07974 574 826")</f>
        <v>0</v>
      </c>
      <c r="C113" t="s">
        <v>540</v>
      </c>
      <c r="D113">
        <f>HYPERLINK("https://www.policestationreps.com/reps.php?ID=101&amp;venue=Bolton Crown Court&amp;pocoone=QkIxMCA0QlE=&amp;pocotwo=BL1 1SU")</f>
        <v>0</v>
      </c>
      <c r="E113" t="s">
        <v>545</v>
      </c>
      <c r="F113">
        <f>HYPERLINK("https://www.google.com/maps/search/Blackhorse Street, Greater Manchester BL1 1SU")</f>
        <v>0</v>
      </c>
      <c r="G113">
        <f>HYPERLINK("tel:01204 392 881")</f>
        <v>0</v>
      </c>
    </row>
    <row r="114" spans="1:7">
      <c r="A114" t="s">
        <v>119</v>
      </c>
      <c r="B114">
        <f>HYPERLINK("tel:07771 891 090")</f>
        <v>0</v>
      </c>
      <c r="C114" t="s">
        <v>540</v>
      </c>
      <c r="D114">
        <f>HYPERLINK("https://www.policestationreps.com/reps.php?ID=1109&amp;venue=Bolton Crown Court&amp;pocoone=U0s4IDRFRA==&amp;pocotwo=BL1 1SU")</f>
        <v>0</v>
      </c>
      <c r="E114" t="s">
        <v>545</v>
      </c>
      <c r="F114">
        <f>HYPERLINK("https://www.google.com/maps/search/Blackhorse Street, Greater Manchester BL1 1SU")</f>
        <v>0</v>
      </c>
      <c r="G114">
        <f>HYPERLINK("tel:01204 392 881")</f>
        <v>0</v>
      </c>
    </row>
    <row r="115" spans="1:7">
      <c r="A115" t="s">
        <v>120</v>
      </c>
      <c r="B115">
        <f>HYPERLINK("tel:07446 885 470")</f>
        <v>0</v>
      </c>
      <c r="C115" t="s">
        <v>539</v>
      </c>
      <c r="D115">
        <f>HYPERLINK("https://www.policestationreps.com/reps.php?ID=2800&amp;venue=Bolton Crown Court&amp;pocoone=QkIxMCAyUUo=&amp;pocotwo=BL1 1SU")</f>
        <v>0</v>
      </c>
      <c r="E115" t="s">
        <v>545</v>
      </c>
      <c r="F115">
        <f>HYPERLINK("https://www.google.com/maps/search/Blackhorse Street, Greater Manchester BL1 1SU")</f>
        <v>0</v>
      </c>
      <c r="G115">
        <f>HYPERLINK("tel:01204 392 881")</f>
        <v>0</v>
      </c>
    </row>
    <row r="116" spans="1:7">
      <c r="A116" t="s">
        <v>121</v>
      </c>
      <c r="B116">
        <f>HYPERLINK("tel:01614 778 558")</f>
        <v>0</v>
      </c>
      <c r="C116" t="s">
        <v>540</v>
      </c>
      <c r="D116">
        <f>HYPERLINK("https://www.policestationreps.com/reps.php?ID=1590&amp;venue=Bolton Crown Court&amp;pocoone=U0sxIDNTVQ==&amp;pocotwo=BL1 1SU")</f>
        <v>0</v>
      </c>
      <c r="E116" t="s">
        <v>545</v>
      </c>
      <c r="F116">
        <f>HYPERLINK("https://www.google.com/maps/search/Blackhorse Street, Greater Manchester BL1 1SU")</f>
        <v>0</v>
      </c>
      <c r="G116">
        <f>HYPERLINK("tel:01204 392 881")</f>
        <v>0</v>
      </c>
    </row>
    <row r="117" spans="1:7">
      <c r="A117" t="s">
        <v>122</v>
      </c>
      <c r="B117">
        <f>HYPERLINK("tel:07545 654 779")</f>
        <v>0</v>
      </c>
      <c r="C117" t="s">
        <v>539</v>
      </c>
      <c r="D117">
        <f>HYPERLINK("https://www.policestationreps.com/reps.php?ID=2677&amp;venue=Bolton Crown Court&amp;pocoone=QkIxMCAxWUE=&amp;pocotwo=BL1 1SU")</f>
        <v>0</v>
      </c>
      <c r="E117" t="s">
        <v>545</v>
      </c>
      <c r="F117">
        <f>HYPERLINK("https://www.google.com/maps/search/Blackhorse Street, Greater Manchester BL1 1SU")</f>
        <v>0</v>
      </c>
      <c r="G117">
        <f>HYPERLINK("tel:01204 392 881")</f>
        <v>0</v>
      </c>
    </row>
    <row r="118" spans="1:7">
      <c r="A118" t="s">
        <v>123</v>
      </c>
      <c r="B118">
        <f>HYPERLINK("tel:07717 875 865")</f>
        <v>0</v>
      </c>
      <c r="C118" t="s">
        <v>541</v>
      </c>
      <c r="D118">
        <f>HYPERLINK("https://www.policestationreps.com/reps.php?ID=2539&amp;venue=Bolton Crown Court&amp;pocoone=U0sxIDRBUg==&amp;pocotwo=BL1 1SU")</f>
        <v>0</v>
      </c>
      <c r="E118" t="s">
        <v>545</v>
      </c>
      <c r="F118">
        <f>HYPERLINK("https://www.google.com/maps/search/Blackhorse Street, Greater Manchester BL1 1SU")</f>
        <v>0</v>
      </c>
      <c r="G118">
        <f>HYPERLINK("tel:01204 392 881")</f>
        <v>0</v>
      </c>
    </row>
    <row r="119" spans="1:7">
      <c r="A119" t="s">
        <v>124</v>
      </c>
      <c r="B119">
        <f>HYPERLINK("tel:07792 166 807")</f>
        <v>0</v>
      </c>
      <c r="C119" t="s">
        <v>540</v>
      </c>
      <c r="D119">
        <f>HYPERLINK("https://www.policestationreps.com/reps.php?ID=1807&amp;venue=Bolton Crown Court&amp;pocoone=QkIxMCAyU0g=&amp;pocotwo=BL1 1SU")</f>
        <v>0</v>
      </c>
      <c r="E119" t="s">
        <v>545</v>
      </c>
      <c r="F119">
        <f>HYPERLINK("https://www.google.com/maps/search/Blackhorse Street, Greater Manchester BL1 1SU")</f>
        <v>0</v>
      </c>
      <c r="G119">
        <f>HYPERLINK("tel:01204 392 881")</f>
        <v>0</v>
      </c>
    </row>
    <row r="120" spans="1:7">
      <c r="A120" t="s">
        <v>125</v>
      </c>
      <c r="B120">
        <f>HYPERLINK("tel:07477 099 957")</f>
        <v>0</v>
      </c>
      <c r="C120" t="s">
        <v>539</v>
      </c>
      <c r="D120">
        <f>HYPERLINK("https://www.policestationreps.com/reps.php?ID=2572&amp;venue=Bolton Crown Court&amp;pocoone=U0sxNCAzRVg=&amp;pocotwo=BL1 1SU")</f>
        <v>0</v>
      </c>
      <c r="E120" t="s">
        <v>545</v>
      </c>
      <c r="F120">
        <f>HYPERLINK("https://www.google.com/maps/search/Blackhorse Street, Greater Manchester BL1 1SU")</f>
        <v>0</v>
      </c>
      <c r="G120">
        <f>HYPERLINK("tel:01204 392 881")</f>
        <v>0</v>
      </c>
    </row>
    <row r="121" spans="1:7">
      <c r="A121" t="s">
        <v>126</v>
      </c>
      <c r="B121">
        <f>HYPERLINK("tel:07833 254 097")</f>
        <v>0</v>
      </c>
      <c r="C121" t="s">
        <v>539</v>
      </c>
      <c r="D121">
        <f>HYPERLINK("https://www.policestationreps.com/reps.php?ID=1734&amp;venue=Bolton Crown Court&amp;pocoone=TDM5IDNORw==&amp;pocotwo=BL1 1SU")</f>
        <v>0</v>
      </c>
      <c r="E121" t="s">
        <v>545</v>
      </c>
      <c r="F121">
        <f>HYPERLINK("https://www.google.com/maps/search/Blackhorse Street, Greater Manchester BL1 1SU")</f>
        <v>0</v>
      </c>
      <c r="G121">
        <f>HYPERLINK("tel:01204 392 881")</f>
        <v>0</v>
      </c>
    </row>
    <row r="122" spans="1:7">
      <c r="A122" t="s">
        <v>127</v>
      </c>
      <c r="B122">
        <f>HYPERLINK("tel:07813 902 666")</f>
        <v>0</v>
      </c>
      <c r="C122" t="s">
        <v>539</v>
      </c>
      <c r="D122">
        <f>HYPERLINK("https://www.policestationreps.com/reps.php?ID=2610&amp;venue=Bolton Crown Court&amp;pocoone=QkI5IDBTTA==&amp;pocotwo=BL1 1SU")</f>
        <v>0</v>
      </c>
      <c r="E122" t="s">
        <v>545</v>
      </c>
      <c r="F122">
        <f>HYPERLINK("https://www.google.com/maps/search/Blackhorse Street, Greater Manchester BL1 1SU")</f>
        <v>0</v>
      </c>
      <c r="G122">
        <f>HYPERLINK("tel:01204 392 881")</f>
        <v>0</v>
      </c>
    </row>
    <row r="123" spans="1:7">
      <c r="A123" t="s">
        <v>128</v>
      </c>
      <c r="B123">
        <f>HYPERLINK("tel:07949 397 624")</f>
        <v>0</v>
      </c>
      <c r="C123" t="s">
        <v>539</v>
      </c>
      <c r="D123">
        <f>HYPERLINK("https://www.policestationreps.com/reps.php?ID=2894&amp;venue=Bolton Crown Court&amp;pocoone=QkI5IDlTSg==&amp;pocotwo=BL1 1SU")</f>
        <v>0</v>
      </c>
      <c r="E123" t="s">
        <v>545</v>
      </c>
      <c r="F123">
        <f>HYPERLINK("https://www.google.com/maps/search/Blackhorse Street, Greater Manchester BL1 1SU")</f>
        <v>0</v>
      </c>
      <c r="G123">
        <f>HYPERLINK("tel:01204 392 881")</f>
        <v>0</v>
      </c>
    </row>
    <row r="124" spans="1:7">
      <c r="A124" t="s">
        <v>127</v>
      </c>
      <c r="B124">
        <f>HYPERLINK("tel:07941 056 788")</f>
        <v>0</v>
      </c>
      <c r="C124" t="s">
        <v>540</v>
      </c>
      <c r="D124">
        <f>HYPERLINK("https://www.policestationreps.com/reps.php?ID=1997&amp;venue=Bolton Crown Court&amp;pocoone=QkI5IDdVWQ==&amp;pocotwo=BL1 1SU")</f>
        <v>0</v>
      </c>
      <c r="E124" t="s">
        <v>545</v>
      </c>
      <c r="F124">
        <f>HYPERLINK("https://www.google.com/maps/search/Blackhorse Street, Greater Manchester BL1 1SU")</f>
        <v>0</v>
      </c>
      <c r="G124">
        <f>HYPERLINK("tel:01204 392 881")</f>
        <v>0</v>
      </c>
    </row>
    <row r="125" spans="1:7">
      <c r="A125" t="s">
        <v>129</v>
      </c>
      <c r="B125">
        <f>HYPERLINK("tel:07921 860 959")</f>
        <v>0</v>
      </c>
      <c r="C125" t="s">
        <v>541</v>
      </c>
      <c r="D125">
        <f>HYPERLINK("https://www.policestationreps.com/reps.php?ID=2013&amp;venue=Bolton Crown Court&amp;pocoone=TDM5IDdIUw==&amp;pocotwo=BL1 1SU")</f>
        <v>0</v>
      </c>
      <c r="E125" t="s">
        <v>545</v>
      </c>
      <c r="F125">
        <f>HYPERLINK("https://www.google.com/maps/search/Blackhorse Street, Greater Manchester BL1 1SU")</f>
        <v>0</v>
      </c>
      <c r="G125">
        <f>HYPERLINK("tel:01204 392 881")</f>
        <v>0</v>
      </c>
    </row>
    <row r="126" spans="1:7">
      <c r="A126" t="s">
        <v>130</v>
      </c>
      <c r="B126">
        <f>HYPERLINK("tel:07494 299 377")</f>
        <v>0</v>
      </c>
      <c r="C126" t="s">
        <v>540</v>
      </c>
      <c r="D126">
        <f>HYPERLINK("https://www.policestationreps.com/reps.php?ID=2481&amp;venue=Bolton Crown Court&amp;pocoone=QkI5IDBUVQ==&amp;pocotwo=BL1 1SU")</f>
        <v>0</v>
      </c>
      <c r="E126" t="s">
        <v>545</v>
      </c>
      <c r="F126">
        <f>HYPERLINK("https://www.google.com/maps/search/Blackhorse Street, Greater Manchester BL1 1SU")</f>
        <v>0</v>
      </c>
      <c r="G126">
        <f>HYPERLINK("tel:01204 392 881")</f>
        <v>0</v>
      </c>
    </row>
    <row r="127" spans="1:7">
      <c r="A127" t="s">
        <v>131</v>
      </c>
      <c r="B127">
        <f>HYPERLINK("tel:07388 879 348")</f>
        <v>0</v>
      </c>
      <c r="C127" t="s">
        <v>539</v>
      </c>
      <c r="D127">
        <f>HYPERLINK("https://www.policestationreps.com/reps.php?ID=2357&amp;venue=Bolton Crown Court&amp;pocoone=V0E4IDhVUA==&amp;pocotwo=BL1 1SU")</f>
        <v>0</v>
      </c>
      <c r="E127" t="s">
        <v>545</v>
      </c>
      <c r="F127">
        <f>HYPERLINK("https://www.google.com/maps/search/Blackhorse Street, Greater Manchester BL1 1SU")</f>
        <v>0</v>
      </c>
      <c r="G127">
        <f>HYPERLINK("tel:01204 392 881")</f>
        <v>0</v>
      </c>
    </row>
    <row r="128" spans="1:7">
      <c r="A128" t="s">
        <v>132</v>
      </c>
      <c r="B128">
        <f>HYPERLINK("tel:07890 120 786")</f>
        <v>0</v>
      </c>
      <c r="C128" t="s">
        <v>539</v>
      </c>
      <c r="D128">
        <f>HYPERLINK("https://www.policestationreps.com/reps.php?ID=2754&amp;venue=Bolton Crown Court&amp;pocoone=QkI5IDdFTg==&amp;pocotwo=BL1 1SU")</f>
        <v>0</v>
      </c>
      <c r="E128" t="s">
        <v>545</v>
      </c>
      <c r="F128">
        <f>HYPERLINK("https://www.google.com/maps/search/Blackhorse Street, Greater Manchester BL1 1SU")</f>
        <v>0</v>
      </c>
      <c r="G128">
        <f>HYPERLINK("tel:01204 392 881")</f>
        <v>0</v>
      </c>
    </row>
    <row r="129" spans="1:7">
      <c r="A129" t="s">
        <v>133</v>
      </c>
      <c r="B129">
        <f>HYPERLINK("tel:07948 519 099")</f>
        <v>0</v>
      </c>
      <c r="C129" t="s">
        <v>540</v>
      </c>
      <c r="D129">
        <f>HYPERLINK("https://www.policestationreps.com/reps.php?ID=2812&amp;venue=Bolton Crown Court&amp;pocoone=QkI5IDdERA==&amp;pocotwo=BL1 1SU")</f>
        <v>0</v>
      </c>
      <c r="E129" t="s">
        <v>545</v>
      </c>
      <c r="F129">
        <f>HYPERLINK("https://www.google.com/maps/search/Blackhorse Street, Greater Manchester BL1 1SU")</f>
        <v>0</v>
      </c>
      <c r="G129">
        <f>HYPERLINK("tel:01204 392 881")</f>
        <v>0</v>
      </c>
    </row>
    <row r="130" spans="1:7">
      <c r="A130" t="s">
        <v>134</v>
      </c>
      <c r="B130">
        <f>HYPERLINK("tel:07714 951 724")</f>
        <v>0</v>
      </c>
      <c r="C130" t="s">
        <v>539</v>
      </c>
      <c r="D130">
        <f>HYPERLINK("https://www.policestationreps.com/reps.php?ID=1715&amp;venue=Bolton Crown Court&amp;pocoone=TDM5IDJCWQ==&amp;pocotwo=BL1 1SU")</f>
        <v>0</v>
      </c>
      <c r="E130" t="s">
        <v>545</v>
      </c>
      <c r="F130">
        <f>HYPERLINK("https://www.google.com/maps/search/Blackhorse Street, Greater Manchester BL1 1SU")</f>
        <v>0</v>
      </c>
      <c r="G130">
        <f>HYPERLINK("tel:01204 392 881")</f>
        <v>0</v>
      </c>
    </row>
    <row r="131" spans="1:7">
      <c r="A131" t="s">
        <v>135</v>
      </c>
      <c r="B131">
        <f>HYPERLINK("tel:07452 821 943")</f>
        <v>0</v>
      </c>
      <c r="C131" t="s">
        <v>539</v>
      </c>
      <c r="D131">
        <f>HYPERLINK("https://www.policestationreps.com/reps.php?ID=1828&amp;venue=Bolton Crown Court&amp;pocoone=TDI4IDNRQQ==&amp;pocotwo=BL1 1SU")</f>
        <v>0</v>
      </c>
      <c r="E131" t="s">
        <v>545</v>
      </c>
      <c r="F131">
        <f>HYPERLINK("https://www.google.com/maps/search/Blackhorse Street, Greater Manchester BL1 1SU")</f>
        <v>0</v>
      </c>
      <c r="G131">
        <f>HYPERLINK("tel:01204 392 881")</f>
        <v>0</v>
      </c>
    </row>
    <row r="132" spans="1:7">
      <c r="A132" t="s">
        <v>136</v>
      </c>
      <c r="B132">
        <f>HYPERLINK("tel:07780 855 404")</f>
        <v>0</v>
      </c>
      <c r="C132" t="s">
        <v>542</v>
      </c>
      <c r="D132">
        <f>HYPERLINK("https://www.policestationreps.com/reps.php?ID=2416&amp;venue=Bolton Crown Court&amp;pocoone=U0s5IDNIWQ==&amp;pocotwo=BL1 1SU")</f>
        <v>0</v>
      </c>
      <c r="E132" t="s">
        <v>545</v>
      </c>
      <c r="F132">
        <f>HYPERLINK("https://www.google.com/maps/search/Blackhorse Street, Greater Manchester BL1 1SU")</f>
        <v>0</v>
      </c>
      <c r="G132">
        <f>HYPERLINK("tel:01204 392 881")</f>
        <v>0</v>
      </c>
    </row>
    <row r="133" spans="1:7">
      <c r="A133" t="s">
        <v>137</v>
      </c>
      <c r="B133">
        <f>HYPERLINK("tel:07484 363 199")</f>
        <v>0</v>
      </c>
      <c r="C133" t="s">
        <v>541</v>
      </c>
      <c r="D133">
        <f>HYPERLINK("https://www.policestationreps.com/reps.php?ID=2057&amp;venue=Bolton Crown Court&amp;pocoone=U0s3IDNKVw==&amp;pocotwo=BL1 1SU")</f>
        <v>0</v>
      </c>
      <c r="E133" t="s">
        <v>545</v>
      </c>
      <c r="F133">
        <f>HYPERLINK("https://www.google.com/maps/search/Blackhorse Street, Greater Manchester BL1 1SU")</f>
        <v>0</v>
      </c>
      <c r="G133">
        <f>HYPERLINK("tel:01204 392 881")</f>
        <v>0</v>
      </c>
    </row>
    <row r="134" spans="1:7">
      <c r="A134" t="s">
        <v>138</v>
      </c>
      <c r="B134">
        <f>HYPERLINK("tel:07970 734 503")</f>
        <v>0</v>
      </c>
      <c r="C134" t="s">
        <v>539</v>
      </c>
      <c r="D134">
        <f>HYPERLINK("https://www.policestationreps.com/reps.php?ID=2525&amp;venue=Bolton Crown Court&amp;pocoone=UFI0IDNTVA==&amp;pocotwo=BL1 1SU")</f>
        <v>0</v>
      </c>
      <c r="E134" t="s">
        <v>545</v>
      </c>
      <c r="F134">
        <f>HYPERLINK("https://www.google.com/maps/search/Blackhorse Street, Greater Manchester BL1 1SU")</f>
        <v>0</v>
      </c>
      <c r="G134">
        <f>HYPERLINK("tel:01204 392 881")</f>
        <v>0</v>
      </c>
    </row>
    <row r="135" spans="1:7">
      <c r="A135" t="s">
        <v>139</v>
      </c>
      <c r="B135">
        <f>HYPERLINK("tel:07825 719 699")</f>
        <v>0</v>
      </c>
      <c r="C135" t="s">
        <v>539</v>
      </c>
      <c r="D135">
        <f>HYPERLINK("https://www.policestationreps.com/reps.php?ID=1457&amp;venue=Bolton Crown Court&amp;pocoone=TDMxIDJKUg==&amp;pocotwo=BL1 1SU")</f>
        <v>0</v>
      </c>
      <c r="E135" t="s">
        <v>545</v>
      </c>
      <c r="F135">
        <f>HYPERLINK("https://www.google.com/maps/search/Blackhorse Street, Greater Manchester BL1 1SU")</f>
        <v>0</v>
      </c>
      <c r="G135">
        <f>HYPERLINK("tel:01204 392 881")</f>
        <v>0</v>
      </c>
    </row>
    <row r="136" spans="1:7">
      <c r="A136" t="s">
        <v>140</v>
      </c>
      <c r="B136">
        <f>HYPERLINK("tel:07801 663 603")</f>
        <v>0</v>
      </c>
      <c r="C136" t="s">
        <v>540</v>
      </c>
      <c r="D136">
        <f>HYPERLINK("https://www.policestationreps.com/reps.php?ID=2037&amp;venue=Bolton Crown Court&amp;pocoone=TDEyIDlMVA==&amp;pocotwo=BL1 1SU")</f>
        <v>0</v>
      </c>
      <c r="E136" t="s">
        <v>545</v>
      </c>
      <c r="F136">
        <f>HYPERLINK("https://www.google.com/maps/search/Blackhorse Street, Greater Manchester BL1 1SU")</f>
        <v>0</v>
      </c>
      <c r="G136">
        <f>HYPERLINK("tel:01204 392 881")</f>
        <v>0</v>
      </c>
    </row>
    <row r="137" spans="1:7">
      <c r="A137" t="s">
        <v>141</v>
      </c>
      <c r="B137">
        <f>HYPERLINK("tel:07952 452 910")</f>
        <v>0</v>
      </c>
      <c r="C137" t="s">
        <v>542</v>
      </c>
      <c r="D137">
        <f>HYPERLINK("https://www.policestationreps.com/reps.php?ID=972&amp;venue=Bolton Crown Court&amp;pocoone=TDE0IDhYTg==&amp;pocotwo=BL1 1SU")</f>
        <v>0</v>
      </c>
      <c r="E137" t="s">
        <v>545</v>
      </c>
      <c r="F137">
        <f>HYPERLINK("https://www.google.com/maps/search/Blackhorse Street, Greater Manchester BL1 1SU")</f>
        <v>0</v>
      </c>
      <c r="G137">
        <f>HYPERLINK("tel:01204 392 881")</f>
        <v>0</v>
      </c>
    </row>
    <row r="138" spans="1:7">
      <c r="A138" t="s">
        <v>142</v>
      </c>
      <c r="B138">
        <f>HYPERLINK("tel:07800 981 279")</f>
        <v>0</v>
      </c>
      <c r="C138" t="s">
        <v>541</v>
      </c>
      <c r="D138">
        <f>HYPERLINK("https://www.policestationreps.com/reps.php?ID=1476&amp;venue=Bolton Crown Court&amp;pocoone=TDE0IDdBQg==&amp;pocotwo=BL1 1SU")</f>
        <v>0</v>
      </c>
      <c r="E138" t="s">
        <v>545</v>
      </c>
      <c r="F138">
        <f>HYPERLINK("https://www.google.com/maps/search/Blackhorse Street, Greater Manchester BL1 1SU")</f>
        <v>0</v>
      </c>
      <c r="G138">
        <f>HYPERLINK("tel:01204 392 881")</f>
        <v>0</v>
      </c>
    </row>
    <row r="139" spans="1:7">
      <c r="A139" t="s">
        <v>143</v>
      </c>
      <c r="B139">
        <f>HYPERLINK("tel:07775 672 631")</f>
        <v>0</v>
      </c>
      <c r="C139" t="s">
        <v>539</v>
      </c>
      <c r="D139">
        <f>HYPERLINK("https://www.policestationreps.com/reps.php?ID=896&amp;venue=Bolton Crown Court&amp;pocoone=TDEwIDRYSg==&amp;pocotwo=BL1 1SU")</f>
        <v>0</v>
      </c>
      <c r="E139" t="s">
        <v>545</v>
      </c>
      <c r="F139">
        <f>HYPERLINK("https://www.google.com/maps/search/Blackhorse Street, Greater Manchester BL1 1SU")</f>
        <v>0</v>
      </c>
      <c r="G139">
        <f>HYPERLINK("tel:01204 392 881")</f>
        <v>0</v>
      </c>
    </row>
    <row r="140" spans="1:7">
      <c r="A140" t="s">
        <v>144</v>
      </c>
      <c r="B140">
        <f>HYPERLINK("tel:07966 911 534")</f>
        <v>0</v>
      </c>
      <c r="C140" t="s">
        <v>539</v>
      </c>
      <c r="D140">
        <f>HYPERLINK("https://www.policestationreps.com/reps.php?ID=1270&amp;venue=Bolton Crown Court&amp;pocoone=TDI2IDlZQQ==&amp;pocotwo=BL1 1SU")</f>
        <v>0</v>
      </c>
      <c r="E140" t="s">
        <v>545</v>
      </c>
      <c r="F140">
        <f>HYPERLINK("https://www.google.com/maps/search/Blackhorse Street, Greater Manchester BL1 1SU")</f>
        <v>0</v>
      </c>
      <c r="G140">
        <f>HYPERLINK("tel:01204 392 881")</f>
        <v>0</v>
      </c>
    </row>
    <row r="141" spans="1:7">
      <c r="A141" t="s">
        <v>145</v>
      </c>
      <c r="B141">
        <f>HYPERLINK("tel:07713 882 107")</f>
        <v>0</v>
      </c>
      <c r="C141" t="s">
        <v>539</v>
      </c>
      <c r="D141">
        <f>HYPERLINK("https://www.policestationreps.com/reps.php?ID=622&amp;venue=Bolton Crown Court&amp;pocoone=UFI5IDhHWg==&amp;pocotwo=BL1 1SU")</f>
        <v>0</v>
      </c>
      <c r="E141" t="s">
        <v>545</v>
      </c>
      <c r="F141">
        <f>HYPERLINK("https://www.google.com/maps/search/Blackhorse Street, Greater Manchester BL1 1SU")</f>
        <v>0</v>
      </c>
      <c r="G141">
        <f>HYPERLINK("tel:01204 392 881")</f>
        <v>0</v>
      </c>
    </row>
    <row r="142" spans="1:7">
      <c r="A142" t="s">
        <v>146</v>
      </c>
      <c r="B142">
        <f>HYPERLINK("tel:07788 244 507")</f>
        <v>0</v>
      </c>
      <c r="C142" t="s">
        <v>541</v>
      </c>
      <c r="D142">
        <f>HYPERLINK("https://www.policestationreps.com/reps.php?ID=1149&amp;venue=Bolton Crown Court&amp;pocoone=U0sxMyA2RVE=&amp;pocotwo=BL1 1SU")</f>
        <v>0</v>
      </c>
      <c r="E142" t="s">
        <v>545</v>
      </c>
      <c r="F142">
        <f>HYPERLINK("https://www.google.com/maps/search/Blackhorse Street, Greater Manchester BL1 1SU")</f>
        <v>0</v>
      </c>
      <c r="G142">
        <f>HYPERLINK("tel:01204 392 881")</f>
        <v>0</v>
      </c>
    </row>
    <row r="143" spans="1:7">
      <c r="A143" t="s">
        <v>147</v>
      </c>
      <c r="B143">
        <f>HYPERLINK("tel:07463 087 954")</f>
        <v>0</v>
      </c>
      <c r="C143" t="s">
        <v>539</v>
      </c>
      <c r="D143">
        <f>HYPERLINK("https://www.policestationreps.com/reps.php?ID=1458&amp;venue=Bolton Crown Court&amp;pocoone=TDI2IDdYVA==&amp;pocotwo=BL1 1SU")</f>
        <v>0</v>
      </c>
      <c r="E143" t="s">
        <v>545</v>
      </c>
      <c r="F143">
        <f>HYPERLINK("https://www.google.com/maps/search/Blackhorse Street, Greater Manchester BL1 1SU")</f>
        <v>0</v>
      </c>
      <c r="G143">
        <f>HYPERLINK("tel:01204 392 881")</f>
        <v>0</v>
      </c>
    </row>
    <row r="144" spans="1:7">
      <c r="A144" t="s">
        <v>148</v>
      </c>
      <c r="B144">
        <f>HYPERLINK("tel:07936 279 323")</f>
        <v>0</v>
      </c>
      <c r="C144" t="s">
        <v>540</v>
      </c>
      <c r="D144">
        <f>HYPERLINK("https://www.policestationreps.com/reps.php?ID=1464&amp;venue=Bolton Crown Court&amp;pocoone=TDEzIDFEQQ==&amp;pocotwo=BL1 1SU")</f>
        <v>0</v>
      </c>
      <c r="E144" t="s">
        <v>545</v>
      </c>
      <c r="F144">
        <f>HYPERLINK("https://www.google.com/maps/search/Blackhorse Street, Greater Manchester BL1 1SU")</f>
        <v>0</v>
      </c>
      <c r="G144">
        <f>HYPERLINK("tel:01204 392 881")</f>
        <v>0</v>
      </c>
    </row>
    <row r="145" spans="1:7">
      <c r="A145" t="s">
        <v>149</v>
      </c>
      <c r="B145">
        <f>HYPERLINK("tel:07703 380 455")</f>
        <v>0</v>
      </c>
      <c r="C145" t="s">
        <v>539</v>
      </c>
      <c r="D145">
        <f>HYPERLINK("https://www.policestationreps.com/reps.php?ID=2722&amp;venue=Bolton Crown Court&amp;pocoone=TDYgNEVU&amp;pocotwo=BL1 1SU")</f>
        <v>0</v>
      </c>
      <c r="E145" t="s">
        <v>545</v>
      </c>
      <c r="F145">
        <f>HYPERLINK("https://www.google.com/maps/search/Blackhorse Street, Greater Manchester BL1 1SU")</f>
        <v>0</v>
      </c>
      <c r="G145">
        <f>HYPERLINK("tel:01204 392 881")</f>
        <v>0</v>
      </c>
    </row>
    <row r="146" spans="1:7">
      <c r="A146" t="s">
        <v>150</v>
      </c>
      <c r="B146">
        <f>HYPERLINK("tel:07794 159 808")</f>
        <v>0</v>
      </c>
      <c r="C146" t="s">
        <v>539</v>
      </c>
      <c r="D146">
        <f>HYPERLINK("https://www.policestationreps.com/reps.php?ID=1556&amp;venue=Bolton Crown Court&amp;pocoone=TDE4IDlTUQ==&amp;pocotwo=BL1 1SU")</f>
        <v>0</v>
      </c>
      <c r="E146" t="s">
        <v>545</v>
      </c>
      <c r="F146">
        <f>HYPERLINK("https://www.google.com/maps/search/Blackhorse Street, Greater Manchester BL1 1SU")</f>
        <v>0</v>
      </c>
      <c r="G146">
        <f>HYPERLINK("tel:01204 392 881")</f>
        <v>0</v>
      </c>
    </row>
    <row r="147" spans="1:7">
      <c r="A147" t="s">
        <v>151</v>
      </c>
      <c r="B147">
        <f>HYPERLINK("tel:07710 022 928")</f>
        <v>0</v>
      </c>
      <c r="C147" t="s">
        <v>541</v>
      </c>
      <c r="D147">
        <f>HYPERLINK("https://www.policestationreps.com/reps.php?ID=2195&amp;venue=Bolton Crown Court&amp;pocoone=TDE1IDdMRA==&amp;pocotwo=BL1 1SU")</f>
        <v>0</v>
      </c>
      <c r="E147" t="s">
        <v>545</v>
      </c>
      <c r="F147">
        <f>HYPERLINK("https://www.google.com/maps/search/Blackhorse Street, Greater Manchester BL1 1SU")</f>
        <v>0</v>
      </c>
      <c r="G147">
        <f>HYPERLINK("tel:01204 392 881")</f>
        <v>0</v>
      </c>
    </row>
    <row r="148" spans="1:7">
      <c r="A148" t="s">
        <v>152</v>
      </c>
      <c r="B148">
        <f>HYPERLINK("tel:07897 650 371")</f>
        <v>0</v>
      </c>
      <c r="C148" t="s">
        <v>539</v>
      </c>
      <c r="D148">
        <f>HYPERLINK("https://www.policestationreps.com/reps.php?ID=397&amp;venue=Bolton Crown Court&amp;pocoone=TDIwIDBERg==&amp;pocotwo=BL1 1SU")</f>
        <v>0</v>
      </c>
      <c r="E148" t="s">
        <v>545</v>
      </c>
      <c r="F148">
        <f>HYPERLINK("https://www.google.com/maps/search/Blackhorse Street, Greater Manchester BL1 1SU")</f>
        <v>0</v>
      </c>
      <c r="G148">
        <f>HYPERLINK("tel:01204 392 881")</f>
        <v>0</v>
      </c>
    </row>
    <row r="149" spans="1:7">
      <c r="A149" t="s">
        <v>153</v>
      </c>
      <c r="B149">
        <f>HYPERLINK("tel:07305 144 621")</f>
        <v>0</v>
      </c>
      <c r="C149" t="s">
        <v>540</v>
      </c>
      <c r="D149">
        <f>HYPERLINK("https://www.policestationreps.com/reps.php?ID=2135&amp;venue=Bolton Crown Court&amp;pocoone=Q1c4IDNRWQ==&amp;pocotwo=BL1 1SU")</f>
        <v>0</v>
      </c>
      <c r="E149" t="s">
        <v>545</v>
      </c>
      <c r="F149">
        <f>HYPERLINK("https://www.google.com/maps/search/Blackhorse Street, Greater Manchester BL1 1SU")</f>
        <v>0</v>
      </c>
      <c r="G149">
        <f>HYPERLINK("tel:01204 392 881")</f>
        <v>0</v>
      </c>
    </row>
    <row r="150" spans="1:7">
      <c r="A150" t="s">
        <v>154</v>
      </c>
      <c r="B150">
        <f>HYPERLINK("tel:07725 844 468")</f>
        <v>0</v>
      </c>
      <c r="C150" t="s">
        <v>539</v>
      </c>
      <c r="D150">
        <f>HYPERLINK("https://www.policestationreps.com/reps.php?ID=2048&amp;venue=Bolton Crown Court&amp;pocoone=TDcgMExS&amp;pocotwo=BL1 1SU")</f>
        <v>0</v>
      </c>
      <c r="E150" t="s">
        <v>545</v>
      </c>
      <c r="F150">
        <f>HYPERLINK("https://www.google.com/maps/search/Blackhorse Street, Greater Manchester BL1 1SU")</f>
        <v>0</v>
      </c>
      <c r="G150">
        <f>HYPERLINK("tel:01204 392 881")</f>
        <v>0</v>
      </c>
    </row>
    <row r="151" spans="1:7">
      <c r="A151" t="s">
        <v>155</v>
      </c>
      <c r="B151">
        <f>HYPERLINK("tel:07880 633 383")</f>
        <v>0</v>
      </c>
      <c r="C151" t="s">
        <v>540</v>
      </c>
      <c r="D151">
        <f>HYPERLINK("https://www.policestationreps.com/reps.php?ID=1455&amp;venue=Bolton Crown Court&amp;pocoone=TDE1IDZUWQ==&amp;pocotwo=BL1 1SU")</f>
        <v>0</v>
      </c>
      <c r="E151" t="s">
        <v>545</v>
      </c>
      <c r="F151">
        <f>HYPERLINK("https://www.google.com/maps/search/Blackhorse Street, Greater Manchester BL1 1SU")</f>
        <v>0</v>
      </c>
      <c r="G151">
        <f>HYPERLINK("tel:01204 392 881")</f>
        <v>0</v>
      </c>
    </row>
    <row r="152" spans="1:7">
      <c r="A152" t="s">
        <v>156</v>
      </c>
      <c r="B152">
        <f>HYPERLINK("tel:07703 351 721")</f>
        <v>0</v>
      </c>
      <c r="C152" t="s">
        <v>539</v>
      </c>
      <c r="D152">
        <f>HYPERLINK("https://www.policestationreps.com/reps.php?ID=1103&amp;venue=Bolton Crown Court&amp;pocoone=SFgyIDdQUg==&amp;pocotwo=BL1 1SU")</f>
        <v>0</v>
      </c>
      <c r="E152" t="s">
        <v>545</v>
      </c>
      <c r="F152">
        <f>HYPERLINK("https://www.google.com/maps/search/Blackhorse Street, Greater Manchester BL1 1SU")</f>
        <v>0</v>
      </c>
      <c r="G152">
        <f>HYPERLINK("tel:01204 392 881")</f>
        <v>0</v>
      </c>
    </row>
    <row r="153" spans="1:7">
      <c r="A153" t="s">
        <v>157</v>
      </c>
      <c r="B153">
        <f>HYPERLINK("tel:07758 081 021")</f>
        <v>0</v>
      </c>
      <c r="C153" t="s">
        <v>539</v>
      </c>
      <c r="D153">
        <f>HYPERLINK("https://www.policestationreps.com/reps.php?ID=2678&amp;venue=Bolton Crown Court&amp;pocoone=TDIzIDZZRA==&amp;pocotwo=BL1 1SU")</f>
        <v>0</v>
      </c>
      <c r="E153" t="s">
        <v>545</v>
      </c>
      <c r="F153">
        <f>HYPERLINK("https://www.google.com/maps/search/Blackhorse Street, Greater Manchester BL1 1SU")</f>
        <v>0</v>
      </c>
      <c r="G153">
        <f>HYPERLINK("tel:01204 392 881")</f>
        <v>0</v>
      </c>
    </row>
    <row r="154" spans="1:7">
      <c r="A154" t="s">
        <v>158</v>
      </c>
      <c r="B154">
        <f>HYPERLINK("tel:07876 247 999")</f>
        <v>0</v>
      </c>
      <c r="C154" t="s">
        <v>539</v>
      </c>
      <c r="D154">
        <f>HYPERLINK("https://www.policestationreps.com/reps.php?ID=1132&amp;venue=Bolton Crown Court&amp;pocoone=SFgxIDVUVw==&amp;pocotwo=BL1 1SU")</f>
        <v>0</v>
      </c>
      <c r="E154" t="s">
        <v>545</v>
      </c>
      <c r="F154">
        <f>HYPERLINK("https://www.google.com/maps/search/Blackhorse Street, Greater Manchester BL1 1SU")</f>
        <v>0</v>
      </c>
      <c r="G154">
        <f>HYPERLINK("tel:01204 392 881")</f>
        <v>0</v>
      </c>
    </row>
    <row r="155" spans="1:7">
      <c r="A155" t="s">
        <v>159</v>
      </c>
      <c r="B155">
        <f>HYPERLINK("tel:07835 635 212")</f>
        <v>0</v>
      </c>
      <c r="C155" t="s">
        <v>540</v>
      </c>
      <c r="D155">
        <f>HYPERLINK("https://www.policestationreps.com/reps.php?ID=1849&amp;venue=Bolton Crown Court&amp;pocoone=SFgxIDVMTA==&amp;pocotwo=BL1 1SU")</f>
        <v>0</v>
      </c>
      <c r="E155" t="s">
        <v>545</v>
      </c>
      <c r="F155">
        <f>HYPERLINK("https://www.google.com/maps/search/Blackhorse Street, Greater Manchester BL1 1SU")</f>
        <v>0</v>
      </c>
      <c r="G155">
        <f>HYPERLINK("tel:01204 392 881")</f>
        <v>0</v>
      </c>
    </row>
    <row r="156" spans="1:7">
      <c r="A156" t="s">
        <v>160</v>
      </c>
      <c r="B156">
        <f>HYPERLINK("tel:07828 558 143")</f>
        <v>0</v>
      </c>
      <c r="C156" t="s">
        <v>539</v>
      </c>
      <c r="D156">
        <f>HYPERLINK("https://www.policestationreps.com/reps.php?ID=2127&amp;venue=Bolton Crown Court&amp;pocoone=SFgxIDNBRA==&amp;pocotwo=BL1 1SU")</f>
        <v>0</v>
      </c>
      <c r="E156" t="s">
        <v>545</v>
      </c>
      <c r="F156">
        <f>HYPERLINK("https://www.google.com/maps/search/Blackhorse Street, Greater Manchester BL1 1SU")</f>
        <v>0</v>
      </c>
      <c r="G156">
        <f>HYPERLINK("tel:01204 392 881")</f>
        <v>0</v>
      </c>
    </row>
    <row r="157" spans="1:7">
      <c r="A157" t="s">
        <v>161</v>
      </c>
      <c r="B157">
        <f>HYPERLINK("tel:07545 142 623")</f>
        <v>0</v>
      </c>
      <c r="C157" t="s">
        <v>540</v>
      </c>
      <c r="D157">
        <f>HYPERLINK("https://www.policestationreps.com/reps.php?ID=2179&amp;venue=Bolton Crown Court&amp;pocoone=SFgxIDNFQQ==&amp;pocotwo=BL1 1SU")</f>
        <v>0</v>
      </c>
      <c r="E157" t="s">
        <v>545</v>
      </c>
      <c r="F157">
        <f>HYPERLINK("https://www.google.com/maps/search/Blackhorse Street, Greater Manchester BL1 1SU")</f>
        <v>0</v>
      </c>
      <c r="G157">
        <f>HYPERLINK("tel:01204 392 881")</f>
        <v>0</v>
      </c>
    </row>
    <row r="158" spans="1:7">
      <c r="A158" t="s">
        <v>162</v>
      </c>
      <c r="B158">
        <f>HYPERLINK("tel:07472 381 420")</f>
        <v>0</v>
      </c>
      <c r="C158" t="s">
        <v>540</v>
      </c>
      <c r="D158">
        <f>HYPERLINK("https://www.policestationreps.com/reps.php?ID=1643&amp;venue=Bolton Crown Court&amp;pocoone=SFgxIDJBRg==&amp;pocotwo=BL1 1SU")</f>
        <v>0</v>
      </c>
      <c r="E158" t="s">
        <v>545</v>
      </c>
      <c r="F158">
        <f>HYPERLINK("https://www.google.com/maps/search/Blackhorse Street, Greater Manchester BL1 1SU")</f>
        <v>0</v>
      </c>
      <c r="G158">
        <f>HYPERLINK("tel:01204 392 881")</f>
        <v>0</v>
      </c>
    </row>
    <row r="159" spans="1:7">
      <c r="A159" t="s">
        <v>163</v>
      </c>
      <c r="B159">
        <f>HYPERLINK("tel:07454 187 818")</f>
        <v>0</v>
      </c>
      <c r="C159" t="s">
        <v>539</v>
      </c>
      <c r="D159">
        <f>HYPERLINK("https://www.policestationreps.com/reps.php?ID=2651&amp;venue=Bolton Crown Court&amp;pocoone=SFgxIDNOUw==&amp;pocotwo=BL1 1SU")</f>
        <v>0</v>
      </c>
      <c r="E159" t="s">
        <v>545</v>
      </c>
      <c r="F159">
        <f>HYPERLINK("https://www.google.com/maps/search/Blackhorse Street, Greater Manchester BL1 1SU")</f>
        <v>0</v>
      </c>
      <c r="G159">
        <f>HYPERLINK("tel:01204 392 881")</f>
        <v>0</v>
      </c>
    </row>
    <row r="160" spans="1:7">
      <c r="A160" t="s">
        <v>164</v>
      </c>
      <c r="B160">
        <f>HYPERLINK("tel:07432 651 407")</f>
        <v>0</v>
      </c>
      <c r="C160" t="s">
        <v>539</v>
      </c>
      <c r="D160">
        <f>HYPERLINK("https://www.policestationreps.com/reps.php?ID=2559&amp;venue=Bolton Crown Court&amp;pocoone=SFgxIDRBRw==&amp;pocotwo=BL1 1SU")</f>
        <v>0</v>
      </c>
      <c r="E160" t="s">
        <v>545</v>
      </c>
      <c r="F160">
        <f>HYPERLINK("https://www.google.com/maps/search/Blackhorse Street, Greater Manchester BL1 1SU")</f>
        <v>0</v>
      </c>
      <c r="G160">
        <f>HYPERLINK("tel:01204 392 881")</f>
        <v>0</v>
      </c>
    </row>
    <row r="161" spans="1:7">
      <c r="A161" t="s">
        <v>165</v>
      </c>
      <c r="B161">
        <f>HYPERLINK("tel:07375 673 142")</f>
        <v>0</v>
      </c>
      <c r="C161" t="s">
        <v>539</v>
      </c>
      <c r="D161">
        <f>HYPERLINK("https://www.policestationreps.com/reps.php?ID=2807&amp;venue=Bolton Crown Court&amp;pocoone=SFgxIDVFVw==&amp;pocotwo=BL1 1SU")</f>
        <v>0</v>
      </c>
      <c r="E161" t="s">
        <v>545</v>
      </c>
      <c r="F161">
        <f>HYPERLINK("https://www.google.com/maps/search/Blackhorse Street, Greater Manchester BL1 1SU")</f>
        <v>0</v>
      </c>
      <c r="G161">
        <f>HYPERLINK("tel:01204 392 881")</f>
        <v>0</v>
      </c>
    </row>
    <row r="162" spans="1:7">
      <c r="A162" t="s">
        <v>166</v>
      </c>
      <c r="B162">
        <f>HYPERLINK("tel:07976 722 256")</f>
        <v>0</v>
      </c>
      <c r="C162" t="s">
        <v>540</v>
      </c>
      <c r="D162">
        <f>HYPERLINK("https://www.policestationreps.com/reps.php?ID=2587&amp;venue=Bolton Crown Court&amp;pocoone=SFgxIDJBTA==&amp;pocotwo=BL1 1SU")</f>
        <v>0</v>
      </c>
      <c r="E162" t="s">
        <v>545</v>
      </c>
      <c r="F162">
        <f>HYPERLINK("https://www.google.com/maps/search/Blackhorse Street, Greater Manchester BL1 1SU")</f>
        <v>0</v>
      </c>
      <c r="G162">
        <f>HYPERLINK("tel:01204 392 881")</f>
        <v>0</v>
      </c>
    </row>
    <row r="163" spans="1:7">
      <c r="A163" t="s">
        <v>167</v>
      </c>
      <c r="B163">
        <f>HYPERLINK("tel:07595 991 713")</f>
        <v>0</v>
      </c>
      <c r="C163" t="s">
        <v>540</v>
      </c>
      <c r="D163">
        <f>HYPERLINK("https://www.policestationreps.com/reps.php?ID=957&amp;venue=Bolton Crown Court&amp;pocoone=TDE5IDlBWA==&amp;pocotwo=BL1 1SU")</f>
        <v>0</v>
      </c>
      <c r="E163" t="s">
        <v>545</v>
      </c>
      <c r="F163">
        <f>HYPERLINK("https://www.google.com/maps/search/Blackhorse Street, Greater Manchester BL1 1SU")</f>
        <v>0</v>
      </c>
      <c r="G163">
        <f>HYPERLINK("tel:01204 392 881")</f>
        <v>0</v>
      </c>
    </row>
    <row r="164" spans="1:7">
      <c r="A164" t="s">
        <v>168</v>
      </c>
      <c r="B164">
        <f>HYPERLINK("tel:07739 801 560")</f>
        <v>0</v>
      </c>
      <c r="C164" t="s">
        <v>539</v>
      </c>
      <c r="D164">
        <f>HYPERLINK("https://www.policestationreps.com/reps.php?ID=1731&amp;venue=Bolton Crown Court&amp;pocoone=SEQzIDNVTA==&amp;pocotwo=BL1 1SU")</f>
        <v>0</v>
      </c>
      <c r="E164" t="s">
        <v>545</v>
      </c>
      <c r="F164">
        <f>HYPERLINK("https://www.google.com/maps/search/Blackhorse Street, Greater Manchester BL1 1SU")</f>
        <v>0</v>
      </c>
      <c r="G164">
        <f>HYPERLINK("tel:01204 392 881")</f>
        <v>0</v>
      </c>
    </row>
    <row r="165" spans="1:7">
      <c r="A165" t="s">
        <v>169</v>
      </c>
      <c r="B165">
        <f>HYPERLINK("tel:07401 771 007")</f>
        <v>0</v>
      </c>
      <c r="C165" t="s">
        <v>540</v>
      </c>
      <c r="D165">
        <f>HYPERLINK("https://www.policestationreps.com/reps.php?ID=946&amp;venue=Bolton Crown Court&amp;pocoone=SEQzIDREVw==&amp;pocotwo=BL1 1SU")</f>
        <v>0</v>
      </c>
      <c r="E165" t="s">
        <v>545</v>
      </c>
      <c r="F165">
        <f>HYPERLINK("https://www.google.com/maps/search/Blackhorse Street, Greater Manchester BL1 1SU")</f>
        <v>0</v>
      </c>
      <c r="G165">
        <f>HYPERLINK("tel:01204 392 881")</f>
        <v>0</v>
      </c>
    </row>
    <row r="166" spans="1:7">
      <c r="A166" t="s">
        <v>170</v>
      </c>
      <c r="B166">
        <f>HYPERLINK("tel:07527 694 234")</f>
        <v>0</v>
      </c>
      <c r="C166" t="s">
        <v>539</v>
      </c>
      <c r="D166">
        <f>HYPERLINK("https://www.policestationreps.com/reps.php?ID=708&amp;venue=Bolton Crown Court&amp;pocoone=SFgzIDdIWQ==&amp;pocotwo=BL1 1SU")</f>
        <v>0</v>
      </c>
      <c r="E166" t="s">
        <v>545</v>
      </c>
      <c r="F166">
        <f>HYPERLINK("https://www.google.com/maps/search/Blackhorse Street, Greater Manchester BL1 1SU")</f>
        <v>0</v>
      </c>
      <c r="G166">
        <f>HYPERLINK("tel:01204 392 881")</f>
        <v>0</v>
      </c>
    </row>
    <row r="167" spans="1:7">
      <c r="A167" t="s">
        <v>171</v>
      </c>
      <c r="B167">
        <f>HYPERLINK("tel:07786 518 547")</f>
        <v>0</v>
      </c>
      <c r="C167" t="s">
        <v>539</v>
      </c>
      <c r="D167">
        <f>HYPERLINK("https://www.policestationreps.com/reps.php?ID=108&amp;venue=Bolton Crown Court&amp;pocoone=TDEgNkJX&amp;pocotwo=BL1 1SU")</f>
        <v>0</v>
      </c>
      <c r="E167" t="s">
        <v>545</v>
      </c>
      <c r="F167">
        <f>HYPERLINK("https://www.google.com/maps/search/Blackhorse Street, Greater Manchester BL1 1SU")</f>
        <v>0</v>
      </c>
      <c r="G167">
        <f>HYPERLINK("tel:01204 392 881")</f>
        <v>0</v>
      </c>
    </row>
    <row r="168" spans="1:7">
      <c r="A168" t="s">
        <v>172</v>
      </c>
      <c r="B168">
        <f>HYPERLINK("tel:07791 657 613")</f>
        <v>0</v>
      </c>
      <c r="C168" t="s">
        <v>540</v>
      </c>
      <c r="D168">
        <f>HYPERLINK("https://www.policestationreps.com/reps.php?ID=1722&amp;venue=Bolton Crown Court&amp;pocoone=SEQzIDRTVw==&amp;pocotwo=BL1 1SU")</f>
        <v>0</v>
      </c>
      <c r="E168" t="s">
        <v>545</v>
      </c>
      <c r="F168">
        <f>HYPERLINK("https://www.google.com/maps/search/Blackhorse Street, Greater Manchester BL1 1SU")</f>
        <v>0</v>
      </c>
      <c r="G168">
        <f>HYPERLINK("tel:01204 392 881")</f>
        <v>0</v>
      </c>
    </row>
    <row r="169" spans="1:7">
      <c r="A169" t="s">
        <v>173</v>
      </c>
      <c r="B169">
        <f>HYPERLINK("tel:07810 318 861")</f>
        <v>0</v>
      </c>
      <c r="C169" t="s">
        <v>540</v>
      </c>
      <c r="D169">
        <f>HYPERLINK("https://www.policestationreps.com/reps.php?ID=1880&amp;venue=Bolton Crown Court&amp;pocoone=Q1c0IDhFWA==&amp;pocotwo=BL1 1SU")</f>
        <v>0</v>
      </c>
      <c r="E169" t="s">
        <v>545</v>
      </c>
      <c r="F169">
        <f>HYPERLINK("https://www.google.com/maps/search/Blackhorse Street, Greater Manchester BL1 1SU")</f>
        <v>0</v>
      </c>
      <c r="G169">
        <f>HYPERLINK("tel:01204 392 881")</f>
        <v>0</v>
      </c>
    </row>
    <row r="170" spans="1:7">
      <c r="A170" t="s">
        <v>174</v>
      </c>
      <c r="B170">
        <f>HYPERLINK("tel:07879 494 076")</f>
        <v>0</v>
      </c>
      <c r="C170" t="s">
        <v>539</v>
      </c>
      <c r="D170">
        <f>HYPERLINK("https://www.policestationreps.com/reps.php?ID=161&amp;venue=Bolton Crown Court&amp;pocoone=QkQyMiA4TlE=&amp;pocotwo=BL1 1SU")</f>
        <v>0</v>
      </c>
      <c r="E170" t="s">
        <v>545</v>
      </c>
      <c r="F170">
        <f>HYPERLINK("https://www.google.com/maps/search/Blackhorse Street, Greater Manchester BL1 1SU")</f>
        <v>0</v>
      </c>
      <c r="G170">
        <f>HYPERLINK("tel:01204 392 881")</f>
        <v>0</v>
      </c>
    </row>
    <row r="171" spans="1:7">
      <c r="A171" t="s">
        <v>175</v>
      </c>
      <c r="B171">
        <f>HYPERLINK("tel:07788 612 888")</f>
        <v>0</v>
      </c>
      <c r="C171" t="s">
        <v>540</v>
      </c>
      <c r="D171">
        <f>HYPERLINK("https://www.policestationreps.com/reps.php?ID=1911&amp;venue=Bolton Crown Court&amp;pocoone=Q0g0NSA2VUI=&amp;pocotwo=BL1 1SU")</f>
        <v>0</v>
      </c>
      <c r="E171" t="s">
        <v>545</v>
      </c>
      <c r="F171">
        <f>HYPERLINK("https://www.google.com/maps/search/Blackhorse Street, Greater Manchester BL1 1SU")</f>
        <v>0</v>
      </c>
      <c r="G171">
        <f>HYPERLINK("tel:01204 392 881")</f>
        <v>0</v>
      </c>
    </row>
    <row r="172" spans="1:7">
      <c r="A172" t="s">
        <v>176</v>
      </c>
      <c r="B172">
        <f>HYPERLINK("tel:07592 960 728")</f>
        <v>0</v>
      </c>
      <c r="C172" t="s">
        <v>539</v>
      </c>
      <c r="D172">
        <f>HYPERLINK("https://www.policestationreps.com/reps.php?ID=2458&amp;venue=Bolton Crown Court&amp;pocoone=SEQxIDNKUw==&amp;pocotwo=BL1 1SU")</f>
        <v>0</v>
      </c>
      <c r="E172" t="s">
        <v>545</v>
      </c>
      <c r="F172">
        <f>HYPERLINK("https://www.google.com/maps/search/Blackhorse Street, Greater Manchester BL1 1SU")</f>
        <v>0</v>
      </c>
      <c r="G172">
        <f>HYPERLINK("tel:01204 392 881")</f>
        <v>0</v>
      </c>
    </row>
    <row r="173" spans="1:7">
      <c r="A173" t="s">
        <v>177</v>
      </c>
      <c r="B173">
        <f>HYPERLINK("tel:07921 814 272")</f>
        <v>0</v>
      </c>
      <c r="C173" t="s">
        <v>539</v>
      </c>
      <c r="D173">
        <f>HYPERLINK("https://www.policestationreps.com/reps.php?ID=1847&amp;venue=Bolton Crown Court&amp;pocoone=Q0g0NCBPRFo=&amp;pocotwo=BL1 1SU")</f>
        <v>0</v>
      </c>
      <c r="E173" t="s">
        <v>545</v>
      </c>
      <c r="F173">
        <f>HYPERLINK("https://www.google.com/maps/search/Blackhorse Street, Greater Manchester BL1 1SU")</f>
        <v>0</v>
      </c>
      <c r="G173">
        <f>HYPERLINK("tel:01204 392 881")</f>
        <v>0</v>
      </c>
    </row>
    <row r="174" spans="1:7">
      <c r="A174" t="s">
        <v>178</v>
      </c>
      <c r="B174">
        <f>HYPERLINK("tel:07950 509 822")</f>
        <v>0</v>
      </c>
      <c r="C174" t="s">
        <v>539</v>
      </c>
      <c r="D174">
        <f>HYPERLINK("https://www.policestationreps.com/reps.php?ID=2796&amp;venue=Bolton Crown Court&amp;pocoone=SEQxIDJOSg==&amp;pocotwo=BL1 1SU")</f>
        <v>0</v>
      </c>
      <c r="E174" t="s">
        <v>545</v>
      </c>
      <c r="F174">
        <f>HYPERLINK("https://www.google.com/maps/search/Blackhorse Street, Greater Manchester BL1 1SU")</f>
        <v>0</v>
      </c>
      <c r="G174">
        <f>HYPERLINK("tel:01204 392 881")</f>
        <v>0</v>
      </c>
    </row>
    <row r="175" spans="1:7">
      <c r="A175" t="s">
        <v>179</v>
      </c>
      <c r="B175">
        <f>HYPERLINK("tel:07976 963 233")</f>
        <v>0</v>
      </c>
      <c r="C175" t="s">
        <v>539</v>
      </c>
      <c r="D175">
        <f>HYPERLINK("https://www.policestationreps.com/reps.php?ID=918&amp;venue=Bolton Crown Court&amp;pocoone=Q0g0NSA1RVg=&amp;pocotwo=BL1 1SU")</f>
        <v>0</v>
      </c>
      <c r="E175" t="s">
        <v>545</v>
      </c>
      <c r="F175">
        <f>HYPERLINK("https://www.google.com/maps/search/Blackhorse Street, Greater Manchester BL1 1SU")</f>
        <v>0</v>
      </c>
      <c r="G175">
        <f>HYPERLINK("tel:01204 392 881")</f>
        <v>0</v>
      </c>
    </row>
    <row r="176" spans="1:7">
      <c r="A176" t="s">
        <v>180</v>
      </c>
      <c r="B176">
        <f>HYPERLINK("tel:07739 801 546")</f>
        <v>0</v>
      </c>
      <c r="C176" t="s">
        <v>540</v>
      </c>
      <c r="D176">
        <f>HYPERLINK("https://www.policestationreps.com/reps.php?ID=1408&amp;venue=Bolton Crown Court&amp;pocoone=SEQxIDJRVA==&amp;pocotwo=BL1 1SU")</f>
        <v>0</v>
      </c>
      <c r="E176" t="s">
        <v>545</v>
      </c>
      <c r="F176">
        <f>HYPERLINK("https://www.google.com/maps/search/Blackhorse Street, Greater Manchester BL1 1SU")</f>
        <v>0</v>
      </c>
      <c r="G176">
        <f>HYPERLINK("tel:01204 392 881")</f>
        <v>0</v>
      </c>
    </row>
    <row r="177" spans="1:7">
      <c r="A177" t="s">
        <v>181</v>
      </c>
      <c r="B177">
        <f>HYPERLINK("tel:07703 530 592")</f>
        <v>0</v>
      </c>
      <c r="C177" t="s">
        <v>539</v>
      </c>
      <c r="D177">
        <f>HYPERLINK("https://www.policestationreps.com/reps.php?ID=2117&amp;venue=Bolton Crown Court&amp;pocoone=RlkzIDlMVA==&amp;pocotwo=BL1 1SU")</f>
        <v>0</v>
      </c>
      <c r="E177" t="s">
        <v>545</v>
      </c>
      <c r="F177">
        <f>HYPERLINK("https://www.google.com/maps/search/Blackhorse Street, Greater Manchester BL1 1SU")</f>
        <v>0</v>
      </c>
      <c r="G177">
        <f>HYPERLINK("tel:01204 392 881")</f>
        <v>0</v>
      </c>
    </row>
    <row r="178" spans="1:7">
      <c r="A178" t="s">
        <v>182</v>
      </c>
      <c r="B178">
        <f>HYPERLINK("tel:01484 302 800")</f>
        <v>0</v>
      </c>
      <c r="C178" t="s">
        <v>539</v>
      </c>
      <c r="D178">
        <f>HYPERLINK("https://www.policestationreps.com/reps.php?ID=1260&amp;venue=Bolton Crown Court&amp;pocoone=SEQyIDFMSA==&amp;pocotwo=BL1 1SU")</f>
        <v>0</v>
      </c>
      <c r="E178" t="s">
        <v>545</v>
      </c>
      <c r="F178">
        <f>HYPERLINK("https://www.google.com/maps/search/Blackhorse Street, Greater Manchester BL1 1SU")</f>
        <v>0</v>
      </c>
      <c r="G178">
        <f>HYPERLINK("tel:01204 392 881")</f>
        <v>0</v>
      </c>
    </row>
    <row r="179" spans="1:7">
      <c r="A179" t="s">
        <v>183</v>
      </c>
      <c r="B179">
        <f>HYPERLINK("tel:07802 546 978")</f>
        <v>0</v>
      </c>
      <c r="C179" t="s">
        <v>539</v>
      </c>
      <c r="D179">
        <f>HYPERLINK("https://www.policestationreps.com/reps.php?ID=1028&amp;venue=Bolton Crown Court&amp;pocoone=SEQyIDFHSg==&amp;pocotwo=BL1 1SU")</f>
        <v>0</v>
      </c>
      <c r="E179" t="s">
        <v>545</v>
      </c>
      <c r="F179">
        <f>HYPERLINK("https://www.google.com/maps/search/Blackhorse Street, Greater Manchester BL1 1SU")</f>
        <v>0</v>
      </c>
      <c r="G179">
        <f>HYPERLINK("tel:01204 392 881")</f>
        <v>0</v>
      </c>
    </row>
    <row r="180" spans="1:7">
      <c r="A180" t="s">
        <v>184</v>
      </c>
      <c r="B180">
        <f>HYPERLINK("tel:07886 374 104")</f>
        <v>0</v>
      </c>
      <c r="C180" t="s">
        <v>541</v>
      </c>
      <c r="D180">
        <f>HYPERLINK("https://www.policestationreps.com/reps.php?ID=1555&amp;venue=Bolton Crown Court&amp;pocoone=QkQxNSA3QVU=&amp;pocotwo=BL1 1SU")</f>
        <v>0</v>
      </c>
      <c r="E180" t="s">
        <v>545</v>
      </c>
      <c r="F180">
        <f>HYPERLINK("https://www.google.com/maps/search/Blackhorse Street, Greater Manchester BL1 1SU")</f>
        <v>0</v>
      </c>
      <c r="G180">
        <f>HYPERLINK("tel:01204 392 881")</f>
        <v>0</v>
      </c>
    </row>
    <row r="181" spans="1:7">
      <c r="A181" t="s">
        <v>185</v>
      </c>
      <c r="B181">
        <f>HYPERLINK("tel:07736 036 593")</f>
        <v>0</v>
      </c>
      <c r="C181" t="s">
        <v>539</v>
      </c>
      <c r="D181">
        <f>HYPERLINK("https://www.policestationreps.com/reps.php?ID=2845&amp;venue=Bolton Crown Court&amp;pocoone=SEQ1IDhFWA==&amp;pocotwo=BL1 1SU")</f>
        <v>0</v>
      </c>
      <c r="E181" t="s">
        <v>545</v>
      </c>
      <c r="F181">
        <f>HYPERLINK("https://www.google.com/maps/search/Blackhorse Street, Greater Manchester BL1 1SU")</f>
        <v>0</v>
      </c>
      <c r="G181">
        <f>HYPERLINK("tel:01204 392 881")</f>
        <v>0</v>
      </c>
    </row>
    <row r="182" spans="1:7">
      <c r="A182" t="s">
        <v>186</v>
      </c>
      <c r="B182">
        <f>HYPERLINK("tel:07707 346 237")</f>
        <v>0</v>
      </c>
      <c r="C182" t="s">
        <v>539</v>
      </c>
      <c r="D182">
        <f>HYPERLINK("https://www.policestationreps.com/reps.php?ID=2701&amp;venue=Bolton Crown Court&amp;pocoone=QkQyMSAxTEo=&amp;pocotwo=BL1 1SU")</f>
        <v>0</v>
      </c>
      <c r="E182" t="s">
        <v>545</v>
      </c>
      <c r="F182">
        <f>HYPERLINK("https://www.google.com/maps/search/Blackhorse Street, Greater Manchester BL1 1SU")</f>
        <v>0</v>
      </c>
      <c r="G182">
        <f>HYPERLINK("tel:01204 392 881")</f>
        <v>0</v>
      </c>
    </row>
    <row r="183" spans="1:7">
      <c r="A183" t="s">
        <v>187</v>
      </c>
      <c r="B183">
        <f>HYPERLINK("tel:07732 749 249")</f>
        <v>0</v>
      </c>
      <c r="C183" t="s">
        <v>539</v>
      </c>
      <c r="D183">
        <f>HYPERLINK("https://www.policestationreps.com/reps.php?ID=2706&amp;venue=Bolton Crown Court&amp;pocoone=QkQyMCA2SFg=&amp;pocotwo=BL1 1SU")</f>
        <v>0</v>
      </c>
      <c r="E183" t="s">
        <v>545</v>
      </c>
      <c r="F183">
        <f>HYPERLINK("https://www.google.com/maps/search/Blackhorse Street, Greater Manchester BL1 1SU")</f>
        <v>0</v>
      </c>
      <c r="G183">
        <f>HYPERLINK("tel:01204 392 881")</f>
        <v>0</v>
      </c>
    </row>
    <row r="184" spans="1:7">
      <c r="A184" t="s">
        <v>188</v>
      </c>
      <c r="B184">
        <f>HYPERLINK("tel:07312 274 153")</f>
        <v>0</v>
      </c>
      <c r="C184" t="s">
        <v>541</v>
      </c>
      <c r="D184">
        <f>HYPERLINK("https://www.policestationreps.com/reps.php?ID=2806&amp;venue=Bolton Crown Court&amp;pocoone=QkQxNSA5Slk=&amp;pocotwo=BL1 1SU")</f>
        <v>0</v>
      </c>
      <c r="E184" t="s">
        <v>545</v>
      </c>
      <c r="F184">
        <f>HYPERLINK("https://www.google.com/maps/search/Blackhorse Street, Greater Manchester BL1 1SU")</f>
        <v>0</v>
      </c>
      <c r="G184">
        <f>HYPERLINK("tel:01204 392 881")</f>
        <v>0</v>
      </c>
    </row>
    <row r="185" spans="1:7">
      <c r="A185" t="s">
        <v>189</v>
      </c>
      <c r="B185">
        <f>HYPERLINK("tel:07921 506 287")</f>
        <v>0</v>
      </c>
      <c r="C185" t="s">
        <v>539</v>
      </c>
      <c r="D185">
        <f>HYPERLINK("https://www.policestationreps.com/reps.php?ID=2092&amp;venue=Bolton Crown Court&amp;pocoone=RlkxIDRMWA==&amp;pocotwo=BL1 1SU")</f>
        <v>0</v>
      </c>
      <c r="E185" t="s">
        <v>545</v>
      </c>
      <c r="F185">
        <f>HYPERLINK("https://www.google.com/maps/search/Blackhorse Street, Greater Manchester BL1 1SU")</f>
        <v>0</v>
      </c>
      <c r="G185">
        <f>HYPERLINK("tel:01204 392 881")</f>
        <v>0</v>
      </c>
    </row>
    <row r="186" spans="1:7">
      <c r="A186" t="s">
        <v>190</v>
      </c>
      <c r="B186">
        <f>HYPERLINK("tel:07977 940 298")</f>
        <v>0</v>
      </c>
      <c r="C186" t="s">
        <v>539</v>
      </c>
      <c r="D186">
        <f>HYPERLINK("https://www.policestationreps.com/reps.php?ID=1238&amp;venue=Bolton Crown Court&amp;pocoone=QkQyMSAyVEE=&amp;pocotwo=BL1 1SU")</f>
        <v>0</v>
      </c>
      <c r="E186" t="s">
        <v>545</v>
      </c>
      <c r="F186">
        <f>HYPERLINK("https://www.google.com/maps/search/Blackhorse Street, Greater Manchester BL1 1SU")</f>
        <v>0</v>
      </c>
      <c r="G186">
        <f>HYPERLINK("tel:01204 392 881")</f>
        <v>0</v>
      </c>
    </row>
    <row r="187" spans="1:7">
      <c r="A187" t="s">
        <v>191</v>
      </c>
      <c r="B187">
        <f>HYPERLINK("tel:07858 977 659")</f>
        <v>0</v>
      </c>
      <c r="C187" t="s">
        <v>539</v>
      </c>
      <c r="D187">
        <f>HYPERLINK("https://www.policestationreps.com/reps.php?ID=2742&amp;venue=Bolton Crown Court&amp;pocoone=QkQ3IDNBSA==&amp;pocotwo=BL1 1SU")</f>
        <v>0</v>
      </c>
      <c r="E187" t="s">
        <v>545</v>
      </c>
      <c r="F187">
        <f>HYPERLINK("https://www.google.com/maps/search/Blackhorse Street, Greater Manchester BL1 1SU")</f>
        <v>0</v>
      </c>
      <c r="G187">
        <f>HYPERLINK("tel:01204 392 881")</f>
        <v>0</v>
      </c>
    </row>
    <row r="188" spans="1:7">
      <c r="A188" t="s">
        <v>192</v>
      </c>
      <c r="B188">
        <f>HYPERLINK("tel:07926 416 924")</f>
        <v>0</v>
      </c>
      <c r="C188" t="s">
        <v>539</v>
      </c>
      <c r="D188">
        <f>HYPERLINK("https://www.policestationreps.com/reps.php?ID=2838&amp;venue=Bolton Crown Court&amp;pocoone=QkQ3IDJERQ==&amp;pocotwo=BL1 1SU")</f>
        <v>0</v>
      </c>
      <c r="E188" t="s">
        <v>545</v>
      </c>
      <c r="F188">
        <f>HYPERLINK("https://www.google.com/maps/search/Blackhorse Street, Greater Manchester BL1 1SU")</f>
        <v>0</v>
      </c>
      <c r="G188">
        <f>HYPERLINK("tel:01204 392 881")</f>
        <v>0</v>
      </c>
    </row>
    <row r="189" spans="1:7">
      <c r="A189" t="s">
        <v>193</v>
      </c>
      <c r="B189">
        <f>HYPERLINK("tel:07904 696 969")</f>
        <v>0</v>
      </c>
      <c r="C189" t="s">
        <v>539</v>
      </c>
      <c r="D189">
        <f>HYPERLINK("https://www.policestationreps.com/reps.php?ID=1665&amp;venue=Bolton Crown Court&amp;pocoone=QkQxMiA5SlA=&amp;pocotwo=BL1 1SU")</f>
        <v>0</v>
      </c>
      <c r="E189" t="s">
        <v>545</v>
      </c>
      <c r="F189">
        <f>HYPERLINK("https://www.google.com/maps/search/Blackhorse Street, Greater Manchester BL1 1SU")</f>
        <v>0</v>
      </c>
      <c r="G189">
        <f>HYPERLINK("tel:01204 392 881")</f>
        <v>0</v>
      </c>
    </row>
    <row r="190" spans="1:7">
      <c r="A190" t="s">
        <v>194</v>
      </c>
      <c r="B190">
        <f>HYPERLINK("tel:07899 247 999")</f>
        <v>0</v>
      </c>
      <c r="C190" t="s">
        <v>539</v>
      </c>
      <c r="D190">
        <f>HYPERLINK("https://www.policestationreps.com/reps.php?ID=2907&amp;venue=Bolton Crown Court&amp;pocoone=QkQ1IDBEWg==&amp;pocotwo=BL1 1SU")</f>
        <v>0</v>
      </c>
      <c r="E190" t="s">
        <v>545</v>
      </c>
      <c r="F190">
        <f>HYPERLINK("https://www.google.com/maps/search/Blackhorse Street, Greater Manchester BL1 1SU")</f>
        <v>0</v>
      </c>
      <c r="G190">
        <f>HYPERLINK("tel:01204 392 881")</f>
        <v>0</v>
      </c>
    </row>
    <row r="191" spans="1:7">
      <c r="A191" t="s">
        <v>195</v>
      </c>
      <c r="B191">
        <f>HYPERLINK("tel:07534 096 210")</f>
        <v>0</v>
      </c>
      <c r="C191" t="s">
        <v>539</v>
      </c>
      <c r="D191">
        <f>HYPERLINK("https://www.policestationreps.com/reps.php?ID=2118&amp;venue=Bolton Crown Court&amp;pocoone=QkQ1IDBFVw==&amp;pocotwo=BL1 1SU")</f>
        <v>0</v>
      </c>
      <c r="E191" t="s">
        <v>545</v>
      </c>
      <c r="F191">
        <f>HYPERLINK("https://www.google.com/maps/search/Blackhorse Street, Greater Manchester BL1 1SU")</f>
        <v>0</v>
      </c>
      <c r="G191">
        <f>HYPERLINK("tel:01204 392 881")</f>
        <v>0</v>
      </c>
    </row>
    <row r="192" spans="1:7">
      <c r="A192" t="s">
        <v>196</v>
      </c>
      <c r="B192">
        <f>HYPERLINK("tel:07746 519 353")</f>
        <v>0</v>
      </c>
      <c r="C192" t="s">
        <v>539</v>
      </c>
      <c r="D192">
        <f>HYPERLINK("https://www.policestationreps.com/reps.php?ID=2730&amp;venue=Bolton Crown Court&amp;pocoone=QkQ5IDVQQQ==&amp;pocotwo=BL1 1SU")</f>
        <v>0</v>
      </c>
      <c r="E192" t="s">
        <v>545</v>
      </c>
      <c r="F192">
        <f>HYPERLINK("https://www.google.com/maps/search/Blackhorse Street, Greater Manchester BL1 1SU")</f>
        <v>0</v>
      </c>
      <c r="G192">
        <f>HYPERLINK("tel:01204 392 881")</f>
        <v>0</v>
      </c>
    </row>
    <row r="193" spans="1:7">
      <c r="A193" t="s">
        <v>197</v>
      </c>
      <c r="B193">
        <f>HYPERLINK("tel:07964 423 445")</f>
        <v>0</v>
      </c>
      <c r="C193" t="s">
        <v>539</v>
      </c>
      <c r="D193">
        <f>HYPERLINK("https://www.policestationreps.com/reps.php?ID=2359&amp;venue=Bolton Crown Court&amp;pocoone=Q0g0OSA1Tlg=&amp;pocotwo=BL1 1SU")</f>
        <v>0</v>
      </c>
      <c r="E193" t="s">
        <v>545</v>
      </c>
      <c r="F193">
        <f>HYPERLINK("https://www.google.com/maps/search/Blackhorse Street, Greater Manchester BL1 1SU")</f>
        <v>0</v>
      </c>
      <c r="G193">
        <f>HYPERLINK("tel:01204 392 881")</f>
        <v>0</v>
      </c>
    </row>
    <row r="194" spans="1:7">
      <c r="A194" t="s">
        <v>198</v>
      </c>
      <c r="B194">
        <f>HYPERLINK("tel:07415 862 103")</f>
        <v>0</v>
      </c>
      <c r="C194" t="s">
        <v>541</v>
      </c>
      <c r="D194">
        <f>HYPERLINK("https://www.policestationreps.com/reps.php?ID=2542&amp;venue=Bolton Crown Court&amp;pocoone=QkQ1IDlMWA==&amp;pocotwo=BL1 1SU")</f>
        <v>0</v>
      </c>
      <c r="E194" t="s">
        <v>545</v>
      </c>
      <c r="F194">
        <f>HYPERLINK("https://www.google.com/maps/search/Blackhorse Street, Greater Manchester BL1 1SU")</f>
        <v>0</v>
      </c>
      <c r="G194">
        <f>HYPERLINK("tel:01204 392 881")</f>
        <v>0</v>
      </c>
    </row>
    <row r="195" spans="1:7">
      <c r="A195" t="s">
        <v>199</v>
      </c>
      <c r="B195">
        <f>HYPERLINK("tel:07930 954 389")</f>
        <v>0</v>
      </c>
      <c r="C195" t="s">
        <v>539</v>
      </c>
      <c r="D195">
        <f>HYPERLINK("https://www.policestationreps.com/reps.php?ID=2814&amp;venue=Bolton Crown Court&amp;pocoone=QkQ1IDBKVA==&amp;pocotwo=BL1 1SU")</f>
        <v>0</v>
      </c>
      <c r="E195" t="s">
        <v>545</v>
      </c>
      <c r="F195">
        <f>HYPERLINK("https://www.google.com/maps/search/Blackhorse Street, Greater Manchester BL1 1SU")</f>
        <v>0</v>
      </c>
      <c r="G195">
        <f>HYPERLINK("tel:01204 392 881")</f>
        <v>0</v>
      </c>
    </row>
    <row r="196" spans="1:7">
      <c r="A196" t="s">
        <v>200</v>
      </c>
      <c r="B196">
        <f>HYPERLINK("tel:07397 277 135")</f>
        <v>0</v>
      </c>
      <c r="C196" t="s">
        <v>539</v>
      </c>
      <c r="D196">
        <f>HYPERLINK("https://www.policestationreps.com/reps.php?ID=2852&amp;venue=Bolton Crown Court&amp;pocoone=QkQ1IDlRVA==&amp;pocotwo=BL1 1SU")</f>
        <v>0</v>
      </c>
      <c r="E196" t="s">
        <v>545</v>
      </c>
      <c r="F196">
        <f>HYPERLINK("https://www.google.com/maps/search/Blackhorse Street, Greater Manchester BL1 1SU")</f>
        <v>0</v>
      </c>
      <c r="G196">
        <f>HYPERLINK("tel:01204 392 881")</f>
        <v>0</v>
      </c>
    </row>
    <row r="197" spans="1:7">
      <c r="A197" t="s">
        <v>201</v>
      </c>
      <c r="B197">
        <f>HYPERLINK("tel:07921 480 037")</f>
        <v>0</v>
      </c>
      <c r="C197" t="s">
        <v>539</v>
      </c>
      <c r="D197">
        <f>HYPERLINK("https://www.policestationreps.com/reps.php?ID=2267&amp;venue=Bolton Crown Court&amp;pocoone=QkQ4IDdIVQ==&amp;pocotwo=BL1 1SU")</f>
        <v>0</v>
      </c>
      <c r="E197" t="s">
        <v>545</v>
      </c>
      <c r="F197">
        <f>HYPERLINK("https://www.google.com/maps/search/Blackhorse Street, Greater Manchester BL1 1SU")</f>
        <v>0</v>
      </c>
      <c r="G197">
        <f>HYPERLINK("tel:01204 392 881")</f>
        <v>0</v>
      </c>
    </row>
    <row r="198" spans="1:7">
      <c r="A198" t="s">
        <v>202</v>
      </c>
      <c r="B198">
        <f>HYPERLINK("tel:07930 135 759")</f>
        <v>0</v>
      </c>
      <c r="C198" t="s">
        <v>539</v>
      </c>
      <c r="D198">
        <f>HYPERLINK("https://www.policestationreps.com/reps.php?ID=1959&amp;venue=Bolton Crown Court&amp;pocoone=QkQ1IDBFVw==&amp;pocotwo=BL1 1SU")</f>
        <v>0</v>
      </c>
      <c r="E198" t="s">
        <v>545</v>
      </c>
      <c r="F198">
        <f>HYPERLINK("https://www.google.com/maps/search/Blackhorse Street, Greater Manchester BL1 1SU")</f>
        <v>0</v>
      </c>
      <c r="G198">
        <f>HYPERLINK("tel:01204 392 881")</f>
        <v>0</v>
      </c>
    </row>
    <row r="199" spans="1:7">
      <c r="A199" t="s">
        <v>203</v>
      </c>
      <c r="B199">
        <f>HYPERLINK("tel:07927 676 681")</f>
        <v>0</v>
      </c>
      <c r="C199" t="s">
        <v>539</v>
      </c>
      <c r="D199">
        <f>HYPERLINK("https://www.policestationreps.com/reps.php?ID=1361&amp;venue=Bolton Crown Court&amp;pocoone=V0YxNCAwRVg=&amp;pocotwo=BL1 1SU")</f>
        <v>0</v>
      </c>
      <c r="E199" t="s">
        <v>545</v>
      </c>
      <c r="F199">
        <f>HYPERLINK("https://www.google.com/maps/search/Blackhorse Street, Greater Manchester BL1 1SU")</f>
        <v>0</v>
      </c>
      <c r="G199">
        <f>HYPERLINK("tel:01204 392 881")</f>
        <v>0</v>
      </c>
    </row>
    <row r="200" spans="1:7">
      <c r="A200" t="s">
        <v>204</v>
      </c>
      <c r="B200">
        <f>HYPERLINK("tel:07562 735 878")</f>
        <v>0</v>
      </c>
      <c r="C200" t="s">
        <v>541</v>
      </c>
      <c r="D200">
        <f>HYPERLINK("https://www.policestationreps.com/reps.php?ID=2516&amp;venue=Bolton Crown Court&amp;pocoone=QkQ1IDBEWg==&amp;pocotwo=BL1 1SU")</f>
        <v>0</v>
      </c>
      <c r="E200" t="s">
        <v>545</v>
      </c>
      <c r="F200">
        <f>HYPERLINK("https://www.google.com/maps/search/Blackhorse Street, Greater Manchester BL1 1SU")</f>
        <v>0</v>
      </c>
      <c r="G200">
        <f>HYPERLINK("tel:01204 392 881")</f>
        <v>0</v>
      </c>
    </row>
    <row r="201" spans="1:7">
      <c r="A201" t="s">
        <v>205</v>
      </c>
      <c r="B201">
        <f>HYPERLINK("tel:07923 148 495")</f>
        <v>0</v>
      </c>
      <c r="C201" t="s">
        <v>540</v>
      </c>
      <c r="D201">
        <f>HYPERLINK("https://www.policestationreps.com/reps.php?ID=2502&amp;venue=Bolton Crown Court&amp;pocoone=QkQ1IDBKVA==&amp;pocotwo=BL1 1SU")</f>
        <v>0</v>
      </c>
      <c r="E201" t="s">
        <v>545</v>
      </c>
      <c r="F201">
        <f>HYPERLINK("https://www.google.com/maps/search/Blackhorse Street, Greater Manchester BL1 1SU")</f>
        <v>0</v>
      </c>
      <c r="G201">
        <f>HYPERLINK("tel:01204 392 881")</f>
        <v>0</v>
      </c>
    </row>
    <row r="202" spans="1:7">
      <c r="A202" t="s">
        <v>206</v>
      </c>
      <c r="B202">
        <f>HYPERLINK("tel:07920 883 906")</f>
        <v>0</v>
      </c>
      <c r="C202" t="s">
        <v>539</v>
      </c>
      <c r="D202">
        <f>HYPERLINK("https://www.policestationreps.com/reps.php?ID=2209&amp;venue=Bolton Crown Court&amp;pocoone=Q1cxMiA0U0w=&amp;pocotwo=BL1 1SU")</f>
        <v>0</v>
      </c>
      <c r="E202" t="s">
        <v>545</v>
      </c>
      <c r="F202">
        <f>HYPERLINK("https://www.google.com/maps/search/Blackhorse Street, Greater Manchester BL1 1SU")</f>
        <v>0</v>
      </c>
      <c r="G202">
        <f>HYPERLINK("tel:01204 392 881")</f>
        <v>0</v>
      </c>
    </row>
    <row r="203" spans="1:7">
      <c r="A203" t="s">
        <v>207</v>
      </c>
      <c r="B203">
        <f>HYPERLINK("tel:07971 957 442")</f>
        <v>0</v>
      </c>
      <c r="C203" t="s">
        <v>540</v>
      </c>
      <c r="D203">
        <f>HYPERLINK("https://www.policestationreps.com/reps.php?ID=1974&amp;venue=Bolton Crown Court&amp;pocoone=QkQ1IDBMTg==&amp;pocotwo=BL1 1SU")</f>
        <v>0</v>
      </c>
      <c r="E203" t="s">
        <v>545</v>
      </c>
      <c r="F203">
        <f>HYPERLINK("https://www.google.com/maps/search/Blackhorse Street, Greater Manchester BL1 1SU")</f>
        <v>0</v>
      </c>
      <c r="G203">
        <f>HYPERLINK("tel:01204 392 881")</f>
        <v>0</v>
      </c>
    </row>
    <row r="204" spans="1:7">
      <c r="A204" t="s">
        <v>208</v>
      </c>
      <c r="B204">
        <f>HYPERLINK("tel:07733 058 131")</f>
        <v>0</v>
      </c>
      <c r="C204" t="s">
        <v>541</v>
      </c>
      <c r="D204">
        <f>HYPERLINK("https://www.policestationreps.com/reps.php?ID=2551&amp;venue=Bolton Crown Court&amp;pocoone=QkQ1IDhIUw==&amp;pocotwo=BL1 1SU")</f>
        <v>0</v>
      </c>
      <c r="E204" t="s">
        <v>545</v>
      </c>
      <c r="F204">
        <f>HYPERLINK("https://www.google.com/maps/search/Blackhorse Street, Greater Manchester BL1 1SU")</f>
        <v>0</v>
      </c>
      <c r="G204">
        <f>HYPERLINK("tel:01204 392 881")</f>
        <v>0</v>
      </c>
    </row>
    <row r="205" spans="1:7">
      <c r="A205" t="s">
        <v>209</v>
      </c>
      <c r="B205">
        <f>HYPERLINK("tel:07742 633 923")</f>
        <v>0</v>
      </c>
      <c r="C205" t="s">
        <v>539</v>
      </c>
      <c r="D205">
        <f>HYPERLINK("https://www.policestationreps.com/reps.php?ID=1152&amp;venue=Bolton Crown Court&amp;pocoone=QkQ1IDBEWA==&amp;pocotwo=BL1 1SU")</f>
        <v>0</v>
      </c>
      <c r="E205" t="s">
        <v>545</v>
      </c>
      <c r="F205">
        <f>HYPERLINK("https://www.google.com/maps/search/Blackhorse Street, Greater Manchester BL1 1SU")</f>
        <v>0</v>
      </c>
      <c r="G205">
        <f>HYPERLINK("tel:01204 392 881")</f>
        <v>0</v>
      </c>
    </row>
    <row r="206" spans="1:7">
      <c r="A206" t="s">
        <v>210</v>
      </c>
      <c r="B206">
        <f>HYPERLINK("tel:07498 317 888")</f>
        <v>0</v>
      </c>
      <c r="C206" t="s">
        <v>539</v>
      </c>
      <c r="D206">
        <f>HYPERLINK("https://www.policestationreps.com/reps.php?ID=2532&amp;venue=Bolton Crown Court&amp;pocoone=QkQ1IDBMQQ==&amp;pocotwo=BL1 1SU")</f>
        <v>0</v>
      </c>
      <c r="E206" t="s">
        <v>545</v>
      </c>
      <c r="F206">
        <f>HYPERLINK("https://www.google.com/maps/search/Blackhorse Street, Greater Manchester BL1 1SU")</f>
        <v>0</v>
      </c>
      <c r="G206">
        <f>HYPERLINK("tel:01204 392 881")</f>
        <v>0</v>
      </c>
    </row>
    <row r="207" spans="1:7">
      <c r="A207" t="s">
        <v>211</v>
      </c>
      <c r="B207">
        <f>HYPERLINK("tel:07527 777 718")</f>
        <v>0</v>
      </c>
      <c r="C207" t="s">
        <v>539</v>
      </c>
      <c r="D207">
        <f>HYPERLINK("https://www.policestationreps.com/reps.php?ID=2364&amp;venue=Bolton Crown Court&amp;pocoone=QkQ1IDBMQg==&amp;pocotwo=BL1 1SU")</f>
        <v>0</v>
      </c>
      <c r="E207" t="s">
        <v>545</v>
      </c>
      <c r="F207">
        <f>HYPERLINK("https://www.google.com/maps/search/Blackhorse Street, Greater Manchester BL1 1SU")</f>
        <v>0</v>
      </c>
      <c r="G207">
        <f>HYPERLINK("tel:01204 392 881")</f>
        <v>0</v>
      </c>
    </row>
    <row r="208" spans="1:7">
      <c r="A208" t="s">
        <v>212</v>
      </c>
      <c r="B208">
        <f>HYPERLINK("tel:07783 786 431")</f>
        <v>0</v>
      </c>
      <c r="C208" t="s">
        <v>541</v>
      </c>
      <c r="D208">
        <f>HYPERLINK("https://www.policestationreps.com/reps.php?ID=2860&amp;venue=Bolton Crown Court&amp;pocoone=QkQ1IE9FVw==&amp;pocotwo=BL1 1SU")</f>
        <v>0</v>
      </c>
      <c r="E208" t="s">
        <v>545</v>
      </c>
      <c r="F208">
        <f>HYPERLINK("https://www.google.com/maps/search/Blackhorse Street, Greater Manchester BL1 1SU")</f>
        <v>0</v>
      </c>
      <c r="G208">
        <f>HYPERLINK("tel:01204 392 881")</f>
        <v>0</v>
      </c>
    </row>
    <row r="209" spans="1:7">
      <c r="A209" t="s">
        <v>213</v>
      </c>
      <c r="B209">
        <f>HYPERLINK("tel:07722 045 525")</f>
        <v>0</v>
      </c>
      <c r="C209" t="s">
        <v>539</v>
      </c>
      <c r="D209">
        <f>HYPERLINK("https://www.policestationreps.com/reps.php?ID=2440&amp;venue=Bolton Crown Court&amp;pocoone=QkQ5IDVKWA==&amp;pocotwo=BL1 1SU")</f>
        <v>0</v>
      </c>
      <c r="E209" t="s">
        <v>545</v>
      </c>
      <c r="F209">
        <f>HYPERLINK("https://www.google.com/maps/search/Blackhorse Street, Greater Manchester BL1 1SU")</f>
        <v>0</v>
      </c>
      <c r="G209">
        <f>HYPERLINK("tel:01204 392 881")</f>
        <v>0</v>
      </c>
    </row>
    <row r="210" spans="1:7">
      <c r="A210" t="s">
        <v>214</v>
      </c>
      <c r="B210">
        <f>HYPERLINK("tel:07479 355 724")</f>
        <v>0</v>
      </c>
      <c r="C210" t="s">
        <v>539</v>
      </c>
      <c r="D210">
        <f>HYPERLINK("https://www.policestationreps.com/reps.php?ID=2791&amp;venue=Bolton Crown Court&amp;pocoone=QkQxIDNFSg==&amp;pocotwo=BL1 1SU")</f>
        <v>0</v>
      </c>
      <c r="E210" t="s">
        <v>545</v>
      </c>
      <c r="F210">
        <f>HYPERLINK("https://www.google.com/maps/search/Blackhorse Street, Greater Manchester BL1 1SU")</f>
        <v>0</v>
      </c>
      <c r="G210">
        <f>HYPERLINK("tel:01204 392 881")</f>
        <v>0</v>
      </c>
    </row>
    <row r="211" spans="1:7">
      <c r="A211" t="s">
        <v>215</v>
      </c>
      <c r="B211">
        <f>HYPERLINK("tel:07533 841 193")</f>
        <v>0</v>
      </c>
      <c r="C211" t="s">
        <v>540</v>
      </c>
      <c r="D211">
        <f>HYPERLINK("https://www.policestationreps.com/reps.php?ID=1986&amp;venue=Bolton Crown Court&amp;pocoone=QkQxIDNFUA==&amp;pocotwo=BL1 1SU")</f>
        <v>0</v>
      </c>
      <c r="E211" t="s">
        <v>545</v>
      </c>
      <c r="F211">
        <f>HYPERLINK("https://www.google.com/maps/search/Blackhorse Street, Greater Manchester BL1 1SU")</f>
        <v>0</v>
      </c>
      <c r="G211">
        <f>HYPERLINK("tel:01204 392 881")</f>
        <v>0</v>
      </c>
    </row>
    <row r="212" spans="1:7">
      <c r="A212" t="s">
        <v>216</v>
      </c>
      <c r="B212">
        <f>HYPERLINK("tel:07730 528 128")</f>
        <v>0</v>
      </c>
      <c r="C212" t="s">
        <v>539</v>
      </c>
      <c r="D212">
        <f>HYPERLINK("https://www.policestationreps.com/reps.php?ID=2394&amp;venue=Bolton Crown Court&amp;pocoone=QkQxOCAzRVI=&amp;pocotwo=BL1 1SU")</f>
        <v>0</v>
      </c>
      <c r="E212" t="s">
        <v>545</v>
      </c>
      <c r="F212">
        <f>HYPERLINK("https://www.google.com/maps/search/Blackhorse Street, Greater Manchester BL1 1SU")</f>
        <v>0</v>
      </c>
      <c r="G212">
        <f>HYPERLINK("tel:01204 392 881")</f>
        <v>0</v>
      </c>
    </row>
    <row r="213" spans="1:7">
      <c r="A213" t="s">
        <v>217</v>
      </c>
      <c r="B213">
        <f>HYPERLINK("tel:07790 134 333")</f>
        <v>0</v>
      </c>
      <c r="C213" t="s">
        <v>540</v>
      </c>
      <c r="D213">
        <f>HYPERLINK("https://www.policestationreps.com/reps.php?ID=1680&amp;venue=Bolton Crown Court&amp;pocoone=QkQ0IDdFTA==&amp;pocotwo=BL1 1SU")</f>
        <v>0</v>
      </c>
      <c r="E213" t="s">
        <v>545</v>
      </c>
      <c r="F213">
        <f>HYPERLINK("https://www.google.com/maps/search/Blackhorse Street, Greater Manchester BL1 1SU")</f>
        <v>0</v>
      </c>
      <c r="G213">
        <f>HYPERLINK("tel:01204 392 881")</f>
        <v>0</v>
      </c>
    </row>
    <row r="214" spans="1:7">
      <c r="A214" t="s">
        <v>218</v>
      </c>
      <c r="B214">
        <f>HYPERLINK("tel:07859 901 949")</f>
        <v>0</v>
      </c>
      <c r="C214" t="s">
        <v>540</v>
      </c>
      <c r="D214">
        <f>HYPERLINK("https://www.policestationreps.com/reps.php?ID=2689&amp;venue=Bolton Crown Court&amp;pocoone=QkQxIDJBQQ==&amp;pocotwo=BL1 1SU")</f>
        <v>0</v>
      </c>
      <c r="E214" t="s">
        <v>545</v>
      </c>
      <c r="F214">
        <f>HYPERLINK("https://www.google.com/maps/search/Blackhorse Street, Greater Manchester BL1 1SU")</f>
        <v>0</v>
      </c>
      <c r="G214">
        <f>HYPERLINK("tel:01204 392 881")</f>
        <v>0</v>
      </c>
    </row>
    <row r="215" spans="1:7">
      <c r="A215" t="s">
        <v>219</v>
      </c>
      <c r="B215">
        <f>HYPERLINK("tel:07896 304 873")</f>
        <v>0</v>
      </c>
      <c r="C215" t="s">
        <v>539</v>
      </c>
      <c r="D215">
        <f>HYPERLINK("https://www.policestationreps.com/reps.php?ID=210&amp;venue=Bolton Crown Court&amp;pocoone=QkQxIDJMVQ==&amp;pocotwo=BL1 1SU")</f>
        <v>0</v>
      </c>
      <c r="E215" t="s">
        <v>545</v>
      </c>
      <c r="F215">
        <f>HYPERLINK("https://www.google.com/maps/search/Blackhorse Street, Greater Manchester BL1 1SU")</f>
        <v>0</v>
      </c>
      <c r="G215">
        <f>HYPERLINK("tel:01204 392 881")</f>
        <v>0</v>
      </c>
    </row>
    <row r="216" spans="1:7">
      <c r="A216" t="s">
        <v>220</v>
      </c>
      <c r="B216">
        <f>HYPERLINK("tel:07976 066 427")</f>
        <v>0</v>
      </c>
      <c r="C216" t="s">
        <v>539</v>
      </c>
      <c r="D216">
        <f>HYPERLINK("https://www.policestationreps.com/reps.php?ID=2278&amp;venue=Bolton Crown Court&amp;pocoone=QkQxIDNQUQ==&amp;pocotwo=BL1 1SU")</f>
        <v>0</v>
      </c>
      <c r="E216" t="s">
        <v>545</v>
      </c>
      <c r="F216">
        <f>HYPERLINK("https://www.google.com/maps/search/Blackhorse Street, Greater Manchester BL1 1SU")</f>
        <v>0</v>
      </c>
      <c r="G216">
        <f>HYPERLINK("tel:01204 392 881")</f>
        <v>0</v>
      </c>
    </row>
    <row r="217" spans="1:7">
      <c r="A217" t="s">
        <v>221</v>
      </c>
      <c r="B217">
        <f>HYPERLINK("tel:07740 172 211")</f>
        <v>0</v>
      </c>
      <c r="C217" t="s">
        <v>540</v>
      </c>
      <c r="D217">
        <f>HYPERLINK("https://www.policestationreps.com/reps.php?ID=1302&amp;venue=Bolton Crown Court&amp;pocoone=QkQxIDVCSg==&amp;pocotwo=BL1 1SU")</f>
        <v>0</v>
      </c>
      <c r="E217" t="s">
        <v>545</v>
      </c>
      <c r="F217">
        <f>HYPERLINK("https://www.google.com/maps/search/Blackhorse Street, Greater Manchester BL1 1SU")</f>
        <v>0</v>
      </c>
      <c r="G217">
        <f>HYPERLINK("tel:01204 392 881")</f>
        <v>0</v>
      </c>
    </row>
    <row r="218" spans="1:7">
      <c r="A218" t="s">
        <v>222</v>
      </c>
      <c r="B218">
        <f>HYPERLINK("tel:07539 630 137")</f>
        <v>0</v>
      </c>
      <c r="C218" t="s">
        <v>539</v>
      </c>
      <c r="D218">
        <f>HYPERLINK("https://www.policestationreps.com/reps.php?ID=2541&amp;venue=Bolton Crown Court&amp;pocoone=Q0g2MSA2WUU=&amp;pocotwo=BL1 1SU")</f>
        <v>0</v>
      </c>
      <c r="E218" t="s">
        <v>545</v>
      </c>
      <c r="F218">
        <f>HYPERLINK("https://www.google.com/maps/search/Blackhorse Street, Greater Manchester BL1 1SU")</f>
        <v>0</v>
      </c>
      <c r="G218">
        <f>HYPERLINK("tel:01204 392 881")</f>
        <v>0</v>
      </c>
    </row>
    <row r="219" spans="1:7">
      <c r="A219" t="s">
        <v>223</v>
      </c>
      <c r="B219">
        <f>HYPERLINK("tel:07790 224 573")</f>
        <v>0</v>
      </c>
      <c r="C219" t="s">
        <v>540</v>
      </c>
      <c r="D219">
        <f>HYPERLINK("https://www.policestationreps.com/reps.php?ID=2776&amp;venue=Bolton Crown Court&amp;pocoone=QkQxOCAzVFA=&amp;pocotwo=BL1 1SU")</f>
        <v>0</v>
      </c>
      <c r="E219" t="s">
        <v>545</v>
      </c>
      <c r="F219">
        <f>HYPERLINK("https://www.google.com/maps/search/Blackhorse Street, Greater Manchester BL1 1SU")</f>
        <v>0</v>
      </c>
      <c r="G219">
        <f>HYPERLINK("tel:01204 392 881")</f>
        <v>0</v>
      </c>
    </row>
    <row r="220" spans="1:7">
      <c r="A220" t="s">
        <v>62</v>
      </c>
      <c r="B220">
        <f>HYPERLINK("tel:07703 407 706")</f>
        <v>0</v>
      </c>
      <c r="C220" t="s">
        <v>539</v>
      </c>
      <c r="D220">
        <f>HYPERLINK("https://www.policestationreps.com/reps.php?ID=2015&amp;venue=Bolton Crown Court&amp;pocoone=QkQxOCAxUEY=&amp;pocotwo=BL1 1SU")</f>
        <v>0</v>
      </c>
      <c r="E220" t="s">
        <v>545</v>
      </c>
      <c r="F220">
        <f>HYPERLINK("https://www.google.com/maps/search/Blackhorse Street, Greater Manchester BL1 1SU")</f>
        <v>0</v>
      </c>
      <c r="G220">
        <f>HYPERLINK("tel:01204 392 881")</f>
        <v>0</v>
      </c>
    </row>
    <row r="221" spans="1:7">
      <c r="A221" t="s">
        <v>224</v>
      </c>
      <c r="B221">
        <f>HYPERLINK("tel:07988 999 507")</f>
        <v>0</v>
      </c>
      <c r="C221" t="s">
        <v>540</v>
      </c>
      <c r="D221">
        <f>HYPERLINK("https://www.policestationreps.com/reps.php?ID=2731&amp;venue=Bolton Crown Court&amp;pocoone=V0YxNiA5SEc=&amp;pocotwo=BL1 1SU")</f>
        <v>0</v>
      </c>
      <c r="E221" t="s">
        <v>545</v>
      </c>
      <c r="F221">
        <f>HYPERLINK("https://www.google.com/maps/search/Blackhorse Street, Greater Manchester BL1 1SU")</f>
        <v>0</v>
      </c>
      <c r="G221">
        <f>HYPERLINK("tel:01204 392 881")</f>
        <v>0</v>
      </c>
    </row>
    <row r="222" spans="1:7">
      <c r="A222" t="s">
        <v>225</v>
      </c>
      <c r="B222">
        <f>HYPERLINK("tel:07972 042 835")</f>
        <v>0</v>
      </c>
      <c r="C222" t="s">
        <v>539</v>
      </c>
      <c r="D222">
        <f>HYPERLINK("https://www.policestationreps.com/reps.php?ID=2126&amp;venue=Bolton Crown Court&amp;pocoone=Q0gzIDVSUA==&amp;pocotwo=BL1 1SU")</f>
        <v>0</v>
      </c>
      <c r="E222" t="s">
        <v>545</v>
      </c>
      <c r="F222">
        <f>HYPERLINK("https://www.google.com/maps/search/Blackhorse Street, Greater Manchester BL1 1SU")</f>
        <v>0</v>
      </c>
      <c r="G222">
        <f>HYPERLINK("tel:01204 392 881")</f>
        <v>0</v>
      </c>
    </row>
    <row r="223" spans="1:7">
      <c r="A223" t="s">
        <v>226</v>
      </c>
      <c r="B223">
        <f>HYPERLINK("tel:07932 432 436")</f>
        <v>0</v>
      </c>
      <c r="C223" t="s">
        <v>539</v>
      </c>
      <c r="D223">
        <f>HYPERLINK("https://www.policestationreps.com/reps.php?ID=2568&amp;venue=Bolton Crown Court&amp;pocoone=QkQzIDBQRw==&amp;pocotwo=BL1 1SU")</f>
        <v>0</v>
      </c>
      <c r="E223" t="s">
        <v>545</v>
      </c>
      <c r="F223">
        <f>HYPERLINK("https://www.google.com/maps/search/Blackhorse Street, Greater Manchester BL1 1SU")</f>
        <v>0</v>
      </c>
      <c r="G223">
        <f>HYPERLINK("tel:01204 392 881")</f>
        <v>0</v>
      </c>
    </row>
    <row r="224" spans="1:7">
      <c r="A224" t="s">
        <v>227</v>
      </c>
      <c r="B224">
        <f>HYPERLINK("tel:07902 107 021")</f>
        <v>0</v>
      </c>
      <c r="C224" t="s">
        <v>540</v>
      </c>
      <c r="D224">
        <f>HYPERLINK("https://www.policestationreps.com/reps.php?ID=2769&amp;venue=Bolton Crown Court&amp;pocoone=QkQzIDBQUA==&amp;pocotwo=BL1 1SU")</f>
        <v>0</v>
      </c>
      <c r="E224" t="s">
        <v>545</v>
      </c>
      <c r="F224">
        <f>HYPERLINK("https://www.google.com/maps/search/Blackhorse Street, Greater Manchester BL1 1SU")</f>
        <v>0</v>
      </c>
      <c r="G224">
        <f>HYPERLINK("tel:01204 392 881")</f>
        <v>0</v>
      </c>
    </row>
    <row r="225" spans="1:7">
      <c r="A225" t="s">
        <v>228</v>
      </c>
      <c r="B225">
        <f>HYPERLINK("tel:07540 433 290")</f>
        <v>0</v>
      </c>
      <c r="C225" t="s">
        <v>539</v>
      </c>
      <c r="D225">
        <f>HYPERLINK("https://www.policestationreps.com/reps.php?ID=2385&amp;venue=Bolton Crown Court&amp;pocoone=V0YxMyAySkY=&amp;pocotwo=BL1 1SU")</f>
        <v>0</v>
      </c>
      <c r="E225" t="s">
        <v>545</v>
      </c>
      <c r="F225">
        <f>HYPERLINK("https://www.google.com/maps/search/Blackhorse Street, Greater Manchester BL1 1SU")</f>
        <v>0</v>
      </c>
      <c r="G225">
        <f>HYPERLINK("tel:01204 392 881")</f>
        <v>0</v>
      </c>
    </row>
    <row r="226" spans="1:7">
      <c r="A226" t="s">
        <v>229</v>
      </c>
      <c r="B226">
        <f>HYPERLINK("tel:07590 851 818")</f>
        <v>0</v>
      </c>
      <c r="C226" t="s">
        <v>539</v>
      </c>
      <c r="D226">
        <f>HYPERLINK("https://www.policestationreps.com/reps.php?ID=88&amp;venue=Bolton Crown Court&amp;pocoone=V0YxNyAwSFI=&amp;pocotwo=BL1 1SU")</f>
        <v>0</v>
      </c>
      <c r="E226" t="s">
        <v>545</v>
      </c>
      <c r="F226">
        <f>HYPERLINK("https://www.google.com/maps/search/Blackhorse Street, Greater Manchester BL1 1SU")</f>
        <v>0</v>
      </c>
      <c r="G226">
        <f>HYPERLINK("tel:01204 392 881")</f>
        <v>0</v>
      </c>
    </row>
    <row r="227" spans="1:7">
      <c r="A227" t="s">
        <v>230</v>
      </c>
      <c r="B227">
        <f>HYPERLINK("tel:07846 223 087")</f>
        <v>0</v>
      </c>
      <c r="C227" t="s">
        <v>539</v>
      </c>
      <c r="D227">
        <f>HYPERLINK("https://www.policestationreps.com/reps.php?ID=2789&amp;venue=Bolton Crown Court&amp;pocoone=QkQxMCAwRVQ=&amp;pocotwo=BL1 1SU")</f>
        <v>0</v>
      </c>
      <c r="E227" t="s">
        <v>545</v>
      </c>
      <c r="F227">
        <f>HYPERLINK("https://www.google.com/maps/search/Blackhorse Street, Greater Manchester BL1 1SU")</f>
        <v>0</v>
      </c>
      <c r="G227">
        <f>HYPERLINK("tel:01204 392 881")</f>
        <v>0</v>
      </c>
    </row>
    <row r="228" spans="1:7">
      <c r="A228" t="s">
        <v>231</v>
      </c>
      <c r="B228">
        <f>HYPERLINK("tel:07703 415 619")</f>
        <v>0</v>
      </c>
      <c r="C228" t="s">
        <v>539</v>
      </c>
      <c r="D228">
        <f>HYPERLINK("https://www.policestationreps.com/reps.php?ID=1191&amp;venue=Bolton Crown Court&amp;pocoone=V0YxMiA5Tkc=&amp;pocotwo=BL1 1SU")</f>
        <v>0</v>
      </c>
      <c r="E228" t="s">
        <v>545</v>
      </c>
      <c r="F228">
        <f>HYPERLINK("https://www.google.com/maps/search/Blackhorse Street, Greater Manchester BL1 1SU")</f>
        <v>0</v>
      </c>
      <c r="G228">
        <f>HYPERLINK("tel:01204 392 881")</f>
        <v>0</v>
      </c>
    </row>
    <row r="229" spans="1:7">
      <c r="A229" t="s">
        <v>232</v>
      </c>
      <c r="B229">
        <f>HYPERLINK("tel:07772 266 503")</f>
        <v>0</v>
      </c>
      <c r="C229" t="s">
        <v>539</v>
      </c>
      <c r="D229">
        <f>HYPERLINK("https://www.policestationreps.com/reps.php?ID=2281&amp;venue=Bolton Crown Court&amp;pocoone=TFMyOCA4RUo=&amp;pocotwo=BL1 1SU")</f>
        <v>0</v>
      </c>
      <c r="E229" t="s">
        <v>545</v>
      </c>
      <c r="F229">
        <f>HYPERLINK("https://www.google.com/maps/search/Blackhorse Street, Greater Manchester BL1 1SU")</f>
        <v>0</v>
      </c>
      <c r="G229">
        <f>HYPERLINK("tel:01204 392 881")</f>
        <v>0</v>
      </c>
    </row>
    <row r="230" spans="1:7">
      <c r="A230" t="s">
        <v>233</v>
      </c>
      <c r="B230">
        <f>HYPERLINK("tel:07965 581 003")</f>
        <v>0</v>
      </c>
      <c r="C230" t="s">
        <v>543</v>
      </c>
      <c r="D230">
        <f>HYPERLINK("https://www.policestationreps.com/reps.php?ID=2819&amp;venue=Bolton Crown Court&amp;pocoone=U1Q3IDFHSA==&amp;pocotwo=BL1 1SU")</f>
        <v>0</v>
      </c>
      <c r="E230" t="s">
        <v>545</v>
      </c>
      <c r="F230">
        <f>HYPERLINK("https://www.google.com/maps/search/Blackhorse Street, Greater Manchester BL1 1SU")</f>
        <v>0</v>
      </c>
      <c r="G230">
        <f>HYPERLINK("tel:01204 392 881")</f>
        <v>0</v>
      </c>
    </row>
    <row r="231" spans="1:7">
      <c r="A231" t="s">
        <v>234</v>
      </c>
      <c r="B231">
        <f>HYPERLINK("tel:07849 497 683")</f>
        <v>0</v>
      </c>
      <c r="C231" t="s">
        <v>539</v>
      </c>
      <c r="D231">
        <f>HYPERLINK("https://www.policestationreps.com/reps.php?ID=2022&amp;venue=Bolton Crown Court&amp;pocoone=TFMyOCA4RVE=&amp;pocotwo=BL1 1SU")</f>
        <v>0</v>
      </c>
      <c r="E231" t="s">
        <v>545</v>
      </c>
      <c r="F231">
        <f>HYPERLINK("https://www.google.com/maps/search/Blackhorse Street, Greater Manchester BL1 1SU")</f>
        <v>0</v>
      </c>
      <c r="G231">
        <f>HYPERLINK("tel:01204 392 881")</f>
        <v>0</v>
      </c>
    </row>
    <row r="232" spans="1:7">
      <c r="A232" t="s">
        <v>235</v>
      </c>
      <c r="B232">
        <f>HYPERLINK("tel:07730 417 707")</f>
        <v>0</v>
      </c>
      <c r="C232" t="s">
        <v>539</v>
      </c>
      <c r="D232">
        <f>HYPERLINK("https://www.policestationreps.com/reps.php?ID=455&amp;venue=Bolton Crown Court&amp;pocoone=Q1cyIDhRUQ==&amp;pocotwo=BL1 1SU")</f>
        <v>0</v>
      </c>
      <c r="E232" t="s">
        <v>545</v>
      </c>
      <c r="F232">
        <f>HYPERLINK("https://www.google.com/maps/search/Blackhorse Street, Greater Manchester BL1 1SU")</f>
        <v>0</v>
      </c>
      <c r="G232">
        <f>HYPERLINK("tel:01204 392 881")</f>
        <v>0</v>
      </c>
    </row>
    <row r="233" spans="1:7">
      <c r="A233" t="s">
        <v>236</v>
      </c>
      <c r="B233">
        <f>HYPERLINK("tel:07523 125 521")</f>
        <v>0</v>
      </c>
      <c r="C233" t="s">
        <v>539</v>
      </c>
      <c r="D233">
        <f>HYPERLINK("https://www.policestationreps.com/reps.php?ID=2430&amp;venue=Bolton Crown Court&amp;pocoone=TFMyOCA3UFQ=&amp;pocotwo=BL1 1SU")</f>
        <v>0</v>
      </c>
      <c r="E233" t="s">
        <v>545</v>
      </c>
      <c r="F233">
        <f>HYPERLINK("https://www.google.com/maps/search/Blackhorse Street, Greater Manchester BL1 1SU")</f>
        <v>0</v>
      </c>
      <c r="G233">
        <f>HYPERLINK("tel:01204 392 881")</f>
        <v>0</v>
      </c>
    </row>
    <row r="234" spans="1:7">
      <c r="A234" t="s">
        <v>237</v>
      </c>
      <c r="B234">
        <f>HYPERLINK("tel:07788 248 438")</f>
        <v>0</v>
      </c>
      <c r="C234" t="s">
        <v>540</v>
      </c>
      <c r="D234">
        <f>HYPERLINK("https://www.policestationreps.com/reps.php?ID=1914&amp;venue=Bolton Crown Court&amp;pocoone=TFMyOCA4UFg=&amp;pocotwo=BL1 1SU")</f>
        <v>0</v>
      </c>
      <c r="E234" t="s">
        <v>545</v>
      </c>
      <c r="F234">
        <f>HYPERLINK("https://www.google.com/maps/search/Blackhorse Street, Greater Manchester BL1 1SU")</f>
        <v>0</v>
      </c>
      <c r="G234">
        <f>HYPERLINK("tel:01204 392 881")</f>
        <v>0</v>
      </c>
    </row>
    <row r="235" spans="1:7">
      <c r="A235" t="s">
        <v>238</v>
      </c>
      <c r="B235">
        <f>HYPERLINK("tel:07746 106 729")</f>
        <v>0</v>
      </c>
      <c r="C235" t="s">
        <v>539</v>
      </c>
      <c r="D235">
        <f>HYPERLINK("https://www.policestationreps.com/reps.php?ID=2899&amp;venue=Bolton Crown Court&amp;pocoone=Q0g1IDFMTg==&amp;pocotwo=BL1 1SU")</f>
        <v>0</v>
      </c>
      <c r="E235" t="s">
        <v>545</v>
      </c>
      <c r="F235">
        <f>HYPERLINK("https://www.google.com/maps/search/Blackhorse Street, Greater Manchester BL1 1SU")</f>
        <v>0</v>
      </c>
      <c r="G235">
        <f>HYPERLINK("tel:01204 392 881")</f>
        <v>0</v>
      </c>
    </row>
    <row r="236" spans="1:7">
      <c r="A236" t="s">
        <v>239</v>
      </c>
      <c r="B236">
        <f>HYPERLINK("tel:07821 089 609")</f>
        <v>0</v>
      </c>
      <c r="C236" t="s">
        <v>539</v>
      </c>
      <c r="D236">
        <f>HYPERLINK("https://www.policestationreps.com/reps.php?ID=782&amp;venue=Bolton Crown Court&amp;pocoone=V0Y1IDBUTg==&amp;pocotwo=BL1 1SU")</f>
        <v>0</v>
      </c>
      <c r="E236" t="s">
        <v>545</v>
      </c>
      <c r="F236">
        <f>HYPERLINK("https://www.google.com/maps/search/Blackhorse Street, Greater Manchester BL1 1SU")</f>
        <v>0</v>
      </c>
      <c r="G236">
        <f>HYPERLINK("tel:01204 392 881")</f>
        <v>0</v>
      </c>
    </row>
    <row r="237" spans="1:7">
      <c r="A237" t="s">
        <v>240</v>
      </c>
      <c r="B237">
        <f>HYPERLINK("tel:07795 143 572")</f>
        <v>0</v>
      </c>
      <c r="C237" t="s">
        <v>539</v>
      </c>
      <c r="D237">
        <f>HYPERLINK("https://www.policestationreps.com/reps.php?ID=1240&amp;venue=Bolton Crown Court&amp;pocoone=TFMxOCA0TFM=&amp;pocotwo=BL1 1SU")</f>
        <v>0</v>
      </c>
      <c r="E237" t="s">
        <v>545</v>
      </c>
      <c r="F237">
        <f>HYPERLINK("https://www.google.com/maps/search/Blackhorse Street, Greater Manchester BL1 1SU")</f>
        <v>0</v>
      </c>
      <c r="G237">
        <f>HYPERLINK("tel:01204 392 881")</f>
        <v>0</v>
      </c>
    </row>
    <row r="238" spans="1:7">
      <c r="A238" t="s">
        <v>241</v>
      </c>
      <c r="B238">
        <f>HYPERLINK("tel:07493 737 297")</f>
        <v>0</v>
      </c>
      <c r="C238" t="s">
        <v>539</v>
      </c>
      <c r="D238">
        <f>HYPERLINK("https://www.policestationreps.com/reps.php?ID=2759&amp;venue=Bolton Crown Court&amp;pocoone=U1Q2IDNIWQ==&amp;pocotwo=BL1 1SU")</f>
        <v>0</v>
      </c>
      <c r="E238" t="s">
        <v>545</v>
      </c>
      <c r="F238">
        <f>HYPERLINK("https://www.google.com/maps/search/Blackhorse Street, Greater Manchester BL1 1SU")</f>
        <v>0</v>
      </c>
      <c r="G238">
        <f>HYPERLINK("tel:01204 392 881")</f>
        <v>0</v>
      </c>
    </row>
    <row r="239" spans="1:7">
      <c r="A239" t="s">
        <v>242</v>
      </c>
      <c r="B239">
        <f>HYPERLINK("tel:07799 895 668")</f>
        <v>0</v>
      </c>
      <c r="C239" t="s">
        <v>540</v>
      </c>
      <c r="D239">
        <f>HYPERLINK("https://www.policestationreps.com/reps.php?ID=605&amp;venue=Bolton Crown Court&amp;pocoone=V0Y0IDRXQQ==&amp;pocotwo=BL1 1SU")</f>
        <v>0</v>
      </c>
      <c r="E239" t="s">
        <v>545</v>
      </c>
      <c r="F239">
        <f>HYPERLINK("https://www.google.com/maps/search/Blackhorse Street, Greater Manchester BL1 1SU")</f>
        <v>0</v>
      </c>
      <c r="G239">
        <f>HYPERLINK("tel:01204 392 881")</f>
        <v>0</v>
      </c>
    </row>
    <row r="240" spans="1:7">
      <c r="A240" t="s">
        <v>243</v>
      </c>
      <c r="B240">
        <f>HYPERLINK("tel:07312 098 232")</f>
        <v>0</v>
      </c>
      <c r="C240" t="s">
        <v>539</v>
      </c>
      <c r="D240">
        <f>HYPERLINK("https://www.policestationreps.com/reps.php?ID=2314&amp;venue=Bolton Crown Court&amp;pocoone=U1Q2IDRBVw==&amp;pocotwo=BL1 1SU")</f>
        <v>0</v>
      </c>
      <c r="E240" t="s">
        <v>545</v>
      </c>
      <c r="F240">
        <f>HYPERLINK("https://www.google.com/maps/search/Blackhorse Street, Greater Manchester BL1 1SU")</f>
        <v>0</v>
      </c>
      <c r="G240">
        <f>HYPERLINK("tel:01204 392 881")</f>
        <v>0</v>
      </c>
    </row>
    <row r="241" spans="1:7">
      <c r="A241" t="s">
        <v>244</v>
      </c>
      <c r="B241">
        <f>HYPERLINK("tel:07852 259 432")</f>
        <v>0</v>
      </c>
      <c r="C241" t="s">
        <v>539</v>
      </c>
      <c r="D241">
        <f>HYPERLINK("https://www.policestationreps.com/reps.php?ID=2157&amp;venue=Bolton Crown Court&amp;pocoone=TFMzIDFGRA==&amp;pocotwo=BL1 1SU")</f>
        <v>0</v>
      </c>
      <c r="E241" t="s">
        <v>545</v>
      </c>
      <c r="F241">
        <f>HYPERLINK("https://www.google.com/maps/search/Blackhorse Street, Greater Manchester BL1 1SU")</f>
        <v>0</v>
      </c>
      <c r="G241">
        <f>HYPERLINK("tel:01204 392 881")</f>
        <v>0</v>
      </c>
    </row>
    <row r="242" spans="1:7">
      <c r="A242" t="s">
        <v>245</v>
      </c>
      <c r="B242">
        <f>HYPERLINK("tel:07790 607 429")</f>
        <v>0</v>
      </c>
      <c r="C242" t="s">
        <v>539</v>
      </c>
      <c r="D242">
        <f>HYPERLINK("https://www.policestationreps.com/reps.php?ID=2350&amp;venue=Bolton Crown Court&amp;pocoone=TFMxMSA1SFo=&amp;pocotwo=BL1 1SU")</f>
        <v>0</v>
      </c>
      <c r="E242" t="s">
        <v>545</v>
      </c>
      <c r="F242">
        <f>HYPERLINK("https://www.google.com/maps/search/Blackhorse Street, Greater Manchester BL1 1SU")</f>
        <v>0</v>
      </c>
      <c r="G242">
        <f>HYPERLINK("tel:01204 392 881")</f>
        <v>0</v>
      </c>
    </row>
    <row r="243" spans="1:7">
      <c r="A243" t="s">
        <v>246</v>
      </c>
      <c r="B243">
        <f>HYPERLINK("tel:07932 382 299")</f>
        <v>0</v>
      </c>
      <c r="C243" t="s">
        <v>539</v>
      </c>
      <c r="D243">
        <f>HYPERLINK("https://www.policestationreps.com/reps.php?ID=1628&amp;venue=Bolton Crown Court&amp;pocoone=TFMxMSA4VUQ=&amp;pocotwo=BL1 1SU")</f>
        <v>0</v>
      </c>
      <c r="E243" t="s">
        <v>545</v>
      </c>
      <c r="F243">
        <f>HYPERLINK("https://www.google.com/maps/search/Blackhorse Street, Greater Manchester BL1 1SU")</f>
        <v>0</v>
      </c>
      <c r="G243">
        <f>HYPERLINK("tel:01204 392 881")</f>
        <v>0</v>
      </c>
    </row>
    <row r="244" spans="1:7">
      <c r="A244" t="s">
        <v>247</v>
      </c>
      <c r="B244">
        <f>HYPERLINK("tel:07732 757 899")</f>
        <v>0</v>
      </c>
      <c r="C244" t="s">
        <v>539</v>
      </c>
      <c r="D244">
        <f>HYPERLINK("https://www.policestationreps.com/reps.php?ID=2698&amp;venue=Bolton Crown Court&amp;pocoone=V0YyIDBESA==&amp;pocotwo=BL1 1SU")</f>
        <v>0</v>
      </c>
      <c r="E244" t="s">
        <v>545</v>
      </c>
      <c r="F244">
        <f>HYPERLINK("https://www.google.com/maps/search/Blackhorse Street, Greater Manchester BL1 1SU")</f>
        <v>0</v>
      </c>
      <c r="G244">
        <f>HYPERLINK("tel:01204 392 881")</f>
        <v>0</v>
      </c>
    </row>
    <row r="245" spans="1:7">
      <c r="A245" t="s">
        <v>248</v>
      </c>
      <c r="B245">
        <f>HYPERLINK("tel:07547 869 067")</f>
        <v>0</v>
      </c>
      <c r="C245" t="s">
        <v>540</v>
      </c>
      <c r="D245">
        <f>HYPERLINK("https://www.policestationreps.com/reps.php?ID=2399&amp;venue=Bolton Crown Court&amp;pocoone=TFMxIDNCRQ==&amp;pocotwo=BL1 1SU")</f>
        <v>0</v>
      </c>
      <c r="E245" t="s">
        <v>545</v>
      </c>
      <c r="F245">
        <f>HYPERLINK("https://www.google.com/maps/search/Blackhorse Street, Greater Manchester BL1 1SU")</f>
        <v>0</v>
      </c>
      <c r="G245">
        <f>HYPERLINK("tel:01204 392 881")</f>
        <v>0</v>
      </c>
    </row>
    <row r="246" spans="1:7">
      <c r="A246" t="s">
        <v>249</v>
      </c>
      <c r="B246">
        <f>HYPERLINK("tel:07846 203 834")</f>
        <v>0</v>
      </c>
      <c r="C246" t="s">
        <v>539</v>
      </c>
      <c r="D246">
        <f>HYPERLINK("https://www.policestationreps.com/reps.php?ID=2752&amp;venue=Bolton Crown Court&amp;pocoone=TFMxMSA3QUo=&amp;pocotwo=BL1 1SU")</f>
        <v>0</v>
      </c>
      <c r="E246" t="s">
        <v>545</v>
      </c>
      <c r="F246">
        <f>HYPERLINK("https://www.google.com/maps/search/Blackhorse Street, Greater Manchester BL1 1SU")</f>
        <v>0</v>
      </c>
      <c r="G246">
        <f>HYPERLINK("tel:01204 392 881")</f>
        <v>0</v>
      </c>
    </row>
    <row r="247" spans="1:7">
      <c r="A247" t="s">
        <v>250</v>
      </c>
      <c r="B247">
        <f>HYPERLINK("tel:07808 541 910")</f>
        <v>0</v>
      </c>
      <c r="C247" t="s">
        <v>539</v>
      </c>
      <c r="D247">
        <f>HYPERLINK("https://www.policestationreps.com/reps.php?ID=2317&amp;venue=Bolton Crown Court&amp;pocoone=V0YxIDNMWg==&amp;pocotwo=BL1 1SU")</f>
        <v>0</v>
      </c>
      <c r="E247" t="s">
        <v>545</v>
      </c>
      <c r="F247">
        <f>HYPERLINK("https://www.google.com/maps/search/Blackhorse Street, Greater Manchester BL1 1SU")</f>
        <v>0</v>
      </c>
      <c r="G247">
        <f>HYPERLINK("tel:01204 392 881")</f>
        <v>0</v>
      </c>
    </row>
    <row r="248" spans="1:7">
      <c r="A248" t="s">
        <v>251</v>
      </c>
      <c r="B248">
        <f>HYPERLINK("tel:07944 337 493")</f>
        <v>0</v>
      </c>
      <c r="C248" t="s">
        <v>539</v>
      </c>
      <c r="D248">
        <f>HYPERLINK("https://www.policestationreps.com/reps.php?ID=2543&amp;venue=Bolton Crown Court&amp;pocoone=V0YxIDVOQQ==&amp;pocotwo=BL1 1SU")</f>
        <v>0</v>
      </c>
      <c r="E248" t="s">
        <v>545</v>
      </c>
      <c r="F248">
        <f>HYPERLINK("https://www.google.com/maps/search/Blackhorse Street, Greater Manchester BL1 1SU")</f>
        <v>0</v>
      </c>
      <c r="G248">
        <f>HYPERLINK("tel:01204 392 881")</f>
        <v>0</v>
      </c>
    </row>
    <row r="249" spans="1:7">
      <c r="A249" t="s">
        <v>252</v>
      </c>
      <c r="B249">
        <f>HYPERLINK("tel:07907 197 661")</f>
        <v>0</v>
      </c>
      <c r="C249" t="s">
        <v>539</v>
      </c>
      <c r="D249">
        <f>HYPERLINK("https://www.policestationreps.com/reps.php?ID=2846&amp;venue=Bolton Crown Court&amp;pocoone=V0YxIDVBWA==&amp;pocotwo=BL1 1SU")</f>
        <v>0</v>
      </c>
      <c r="E249" t="s">
        <v>545</v>
      </c>
      <c r="F249">
        <f>HYPERLINK("https://www.google.com/maps/search/Blackhorse Street, Greater Manchester BL1 1SU")</f>
        <v>0</v>
      </c>
      <c r="G249">
        <f>HYPERLINK("tel:01204 392 881")</f>
        <v>0</v>
      </c>
    </row>
    <row r="250" spans="1:7">
      <c r="A250" t="s">
        <v>253</v>
      </c>
      <c r="B250">
        <f>HYPERLINK("tel:07540 760 406")</f>
        <v>0</v>
      </c>
      <c r="C250" t="s">
        <v>541</v>
      </c>
      <c r="D250">
        <f>HYPERLINK("https://www.policestationreps.com/reps.php?ID=2728&amp;venue=Bolton Crown Court&amp;pocoone=TFM3IDFBQg==&amp;pocotwo=BL1 1SU")</f>
        <v>0</v>
      </c>
      <c r="E250" t="s">
        <v>545</v>
      </c>
      <c r="F250">
        <f>HYPERLINK("https://www.google.com/maps/search/Blackhorse Street, Greater Manchester BL1 1SU")</f>
        <v>0</v>
      </c>
      <c r="G250">
        <f>HYPERLINK("tel:01204 392 881")</f>
        <v>0</v>
      </c>
    </row>
    <row r="251" spans="1:7">
      <c r="A251" t="s">
        <v>254</v>
      </c>
      <c r="B251">
        <f>HYPERLINK("tel:07519 899 030")</f>
        <v>0</v>
      </c>
      <c r="C251" t="s">
        <v>540</v>
      </c>
      <c r="D251">
        <f>HYPERLINK("https://www.policestationreps.com/reps.php?ID=2304&amp;venue=Bolton Crown Court&amp;pocoone=V0YxIDROTg==&amp;pocotwo=BL1 1SU")</f>
        <v>0</v>
      </c>
      <c r="E251" t="s">
        <v>545</v>
      </c>
      <c r="F251">
        <f>HYPERLINK("https://www.google.com/maps/search/Blackhorse Street, Greater Manchester BL1 1SU")</f>
        <v>0</v>
      </c>
      <c r="G251">
        <f>HYPERLINK("tel:01204 392 881")</f>
        <v>0</v>
      </c>
    </row>
    <row r="252" spans="1:7">
      <c r="A252" t="s">
        <v>255</v>
      </c>
      <c r="B252">
        <f>HYPERLINK("tel:07957 312 466")</f>
        <v>0</v>
      </c>
      <c r="C252" t="s">
        <v>541</v>
      </c>
      <c r="D252">
        <f>HYPERLINK("https://www.policestationreps.com/reps.php?ID=1990&amp;venue=Bolton Crown Court&amp;pocoone=V0YxIDRUUg==&amp;pocotwo=BL1 1SU")</f>
        <v>0</v>
      </c>
      <c r="E252" t="s">
        <v>545</v>
      </c>
      <c r="F252">
        <f>HYPERLINK("https://www.google.com/maps/search/Blackhorse Street, Greater Manchester BL1 1SU")</f>
        <v>0</v>
      </c>
      <c r="G252">
        <f>HYPERLINK("tel:01204 392 881")</f>
        <v>0</v>
      </c>
    </row>
    <row r="253" spans="1:7">
      <c r="A253" t="s">
        <v>256</v>
      </c>
      <c r="B253">
        <f>HYPERLINK("tel:07854 442 275")</f>
        <v>0</v>
      </c>
      <c r="C253" t="s">
        <v>539</v>
      </c>
      <c r="D253">
        <f>HYPERLINK("https://www.policestationreps.com/reps.php?ID=2220&amp;venue=Bolton Crown Court&amp;pocoone=U1Q1IDRKRA==&amp;pocotwo=BL1 1SU")</f>
        <v>0</v>
      </c>
      <c r="E253" t="s">
        <v>545</v>
      </c>
      <c r="F253">
        <f>HYPERLINK("https://www.google.com/maps/search/Blackhorse Street, Greater Manchester BL1 1SU")</f>
        <v>0</v>
      </c>
      <c r="G253">
        <f>HYPERLINK("tel:01204 392 881")</f>
        <v>0</v>
      </c>
    </row>
    <row r="254" spans="1:7">
      <c r="A254" t="s">
        <v>257</v>
      </c>
      <c r="B254">
        <f>HYPERLINK("tel:07914 158 548")</f>
        <v>0</v>
      </c>
      <c r="C254" t="s">
        <v>539</v>
      </c>
      <c r="D254">
        <f>HYPERLINK("https://www.policestationreps.com/reps.php?ID=2578&amp;venue=Bolton Crown Court&amp;pocoone=U1QxIDRQUg==&amp;pocotwo=BL1 1SU")</f>
        <v>0</v>
      </c>
      <c r="E254" t="s">
        <v>545</v>
      </c>
      <c r="F254">
        <f>HYPERLINK("https://www.google.com/maps/search/Blackhorse Street, Greater Manchester BL1 1SU")</f>
        <v>0</v>
      </c>
      <c r="G254">
        <f>HYPERLINK("tel:01204 392 881")</f>
        <v>0</v>
      </c>
    </row>
    <row r="255" spans="1:7">
      <c r="A255" t="s">
        <v>258</v>
      </c>
      <c r="B255">
        <f>HYPERLINK("tel:07795 103 637")</f>
        <v>0</v>
      </c>
      <c r="C255" t="s">
        <v>541</v>
      </c>
      <c r="D255">
        <f>HYPERLINK("https://www.policestationreps.com/reps.php?ID=2536&amp;venue=Bolton Crown Court&amp;pocoone=TFM5IDlMRg==&amp;pocotwo=BL1 1SU")</f>
        <v>0</v>
      </c>
      <c r="E255" t="s">
        <v>545</v>
      </c>
      <c r="F255">
        <f>HYPERLINK("https://www.google.com/maps/search/Blackhorse Street, Greater Manchester BL1 1SU")</f>
        <v>0</v>
      </c>
      <c r="G255">
        <f>HYPERLINK("tel:01204 392 881")</f>
        <v>0</v>
      </c>
    </row>
    <row r="256" spans="1:7">
      <c r="A256" t="s">
        <v>259</v>
      </c>
      <c r="B256">
        <f>HYPERLINK("tel:07731 739 183")</f>
        <v>0</v>
      </c>
      <c r="C256" t="s">
        <v>539</v>
      </c>
      <c r="D256">
        <f>HYPERLINK("https://www.policestationreps.com/reps.php?ID=2237&amp;venue=Bolton Crown Court&amp;pocoone=U1Q1IDFFRQ==&amp;pocotwo=BL1 1SU")</f>
        <v>0</v>
      </c>
      <c r="E256" t="s">
        <v>545</v>
      </c>
      <c r="F256">
        <f>HYPERLINK("https://www.google.com/maps/search/Blackhorse Street, Greater Manchester BL1 1SU")</f>
        <v>0</v>
      </c>
      <c r="G256">
        <f>HYPERLINK("tel:01204 392 881")</f>
        <v>0</v>
      </c>
    </row>
    <row r="257" spans="1:7">
      <c r="A257" t="s">
        <v>260</v>
      </c>
      <c r="B257">
        <f>HYPERLINK("tel:07789 294 745")</f>
        <v>0</v>
      </c>
      <c r="C257" t="s">
        <v>539</v>
      </c>
      <c r="D257">
        <f>HYPERLINK("https://www.policestationreps.com/reps.php?ID=2213&amp;venue=Bolton Crown Court&amp;pocoone=U1Q1IDRKRA==&amp;pocotwo=BL1 1SU")</f>
        <v>0</v>
      </c>
      <c r="E257" t="s">
        <v>545</v>
      </c>
      <c r="F257">
        <f>HYPERLINK("https://www.google.com/maps/search/Blackhorse Street, Greater Manchester BL1 1SU")</f>
        <v>0</v>
      </c>
      <c r="G257">
        <f>HYPERLINK("tel:01204 392 881")</f>
        <v>0</v>
      </c>
    </row>
    <row r="258" spans="1:7">
      <c r="A258" t="s">
        <v>261</v>
      </c>
      <c r="B258">
        <f>HYPERLINK("tel:07718 381 491")</f>
        <v>0</v>
      </c>
      <c r="C258" t="s">
        <v>539</v>
      </c>
      <c r="D258">
        <f>HYPERLINK("https://www.policestationreps.com/reps.php?ID=2250&amp;venue=Bolton Crown Court&amp;pocoone=U1Q1IDZUQQ==&amp;pocotwo=BL1 1SU")</f>
        <v>0</v>
      </c>
      <c r="E258" t="s">
        <v>545</v>
      </c>
      <c r="F258">
        <f>HYPERLINK("https://www.google.com/maps/search/Blackhorse Street, Greater Manchester BL1 1SU")</f>
        <v>0</v>
      </c>
      <c r="G258">
        <f>HYPERLINK("tel:01204 392 881")</f>
        <v>0</v>
      </c>
    </row>
    <row r="259" spans="1:7">
      <c r="A259" t="s">
        <v>262</v>
      </c>
      <c r="B259">
        <f>HYPERLINK("tel:01132 491 662")</f>
        <v>0</v>
      </c>
      <c r="C259" t="s">
        <v>539</v>
      </c>
      <c r="D259">
        <f>HYPERLINK("https://www.policestationreps.com/reps.php?ID=2130&amp;venue=Bolton Crown Court&amp;pocoone=TFM4IDRIUw==&amp;pocotwo=BL1 1SU")</f>
        <v>0</v>
      </c>
      <c r="E259" t="s">
        <v>545</v>
      </c>
      <c r="F259">
        <f>HYPERLINK("https://www.google.com/maps/search/Blackhorse Street, Greater Manchester BL1 1SU")</f>
        <v>0</v>
      </c>
      <c r="G259">
        <f>HYPERLINK("tel:01204 392 881")</f>
        <v>0</v>
      </c>
    </row>
    <row r="260" spans="1:7">
      <c r="A260" t="s">
        <v>263</v>
      </c>
      <c r="B260">
        <f>HYPERLINK("tel:07765 727 304")</f>
        <v>0</v>
      </c>
      <c r="C260" t="s">
        <v>539</v>
      </c>
      <c r="D260">
        <f>HYPERLINK("https://www.policestationreps.com/reps.php?ID=2448&amp;venue=Bolton Crown Court&amp;pocoone=UzMgOURS&amp;pocotwo=BL1 1SU")</f>
        <v>0</v>
      </c>
      <c r="E260" t="s">
        <v>545</v>
      </c>
      <c r="F260">
        <f>HYPERLINK("https://www.google.com/maps/search/Blackhorse Street, Greater Manchester BL1 1SU")</f>
        <v>0</v>
      </c>
      <c r="G260">
        <f>HYPERLINK("tel:01204 392 881")</f>
        <v>0</v>
      </c>
    </row>
    <row r="261" spans="1:7">
      <c r="A261" t="s">
        <v>264</v>
      </c>
      <c r="B261">
        <f>HYPERLINK("tel:07448 850 472")</f>
        <v>0</v>
      </c>
      <c r="C261" t="s">
        <v>541</v>
      </c>
      <c r="D261">
        <f>HYPERLINK("https://www.policestationreps.com/reps.php?ID=2867&amp;venue=Bolton Crown Court&amp;pocoone=UzUgN0FR&amp;pocotwo=BL1 1SU")</f>
        <v>0</v>
      </c>
      <c r="E261" t="s">
        <v>545</v>
      </c>
      <c r="F261">
        <f>HYPERLINK("https://www.google.com/maps/search/Blackhorse Street, Greater Manchester BL1 1SU")</f>
        <v>0</v>
      </c>
      <c r="G261">
        <f>HYPERLINK("tel:01204 392 881")</f>
        <v>0</v>
      </c>
    </row>
    <row r="262" spans="1:7">
      <c r="A262" t="s">
        <v>265</v>
      </c>
      <c r="B262">
        <f>HYPERLINK("tel:07804 792 546")</f>
        <v>0</v>
      </c>
      <c r="C262" t="s">
        <v>540</v>
      </c>
      <c r="D262">
        <f>HYPERLINK("https://www.policestationreps.com/reps.php?ID=1635&amp;venue=Bolton Crown Court&amp;pocoone=UzE3IDNFWg==&amp;pocotwo=BL1 1SU")</f>
        <v>0</v>
      </c>
      <c r="E262" t="s">
        <v>545</v>
      </c>
      <c r="F262">
        <f>HYPERLINK("https://www.google.com/maps/search/Blackhorse Street, Greater Manchester BL1 1SU")</f>
        <v>0</v>
      </c>
      <c r="G262">
        <f>HYPERLINK("tel:01204 392 881")</f>
        <v>0</v>
      </c>
    </row>
    <row r="263" spans="1:7">
      <c r="A263" t="s">
        <v>266</v>
      </c>
      <c r="B263">
        <f>HYPERLINK("tel:07527 646 314")</f>
        <v>0</v>
      </c>
      <c r="C263" t="s">
        <v>539</v>
      </c>
      <c r="D263">
        <f>HYPERLINK("https://www.policestationreps.com/reps.php?ID=2136&amp;venue=Bolton Crown Court&amp;pocoone=UzExIDhZRQ==&amp;pocotwo=BL1 1SU")</f>
        <v>0</v>
      </c>
      <c r="E263" t="s">
        <v>545</v>
      </c>
      <c r="F263">
        <f>HYPERLINK("https://www.google.com/maps/search/Blackhorse Street, Greater Manchester BL1 1SU")</f>
        <v>0</v>
      </c>
      <c r="G263">
        <f>HYPERLINK("tel:01204 392 881")</f>
        <v>0</v>
      </c>
    </row>
    <row r="264" spans="1:7">
      <c r="A264" t="s">
        <v>267</v>
      </c>
      <c r="B264">
        <f>HYPERLINK("tel:07900 785 803")</f>
        <v>0</v>
      </c>
      <c r="C264" t="s">
        <v>539</v>
      </c>
      <c r="D264">
        <f>HYPERLINK("https://www.policestationreps.com/reps.php?ID=2051&amp;venue=Bolton Crown Court&amp;pocoone=U1Q0IDdOUQ==&amp;pocotwo=BL1 1SU")</f>
        <v>0</v>
      </c>
      <c r="E264" t="s">
        <v>545</v>
      </c>
      <c r="F264">
        <f>HYPERLINK("https://www.google.com/maps/search/Blackhorse Street, Greater Manchester BL1 1SU")</f>
        <v>0</v>
      </c>
      <c r="G264">
        <f>HYPERLINK("tel:01204 392 881")</f>
        <v>0</v>
      </c>
    </row>
    <row r="265" spans="1:7">
      <c r="A265" t="s">
        <v>268</v>
      </c>
      <c r="B265">
        <f>HYPERLINK("tel:07798 892 209")</f>
        <v>0</v>
      </c>
      <c r="C265" t="s">
        <v>540</v>
      </c>
      <c r="D265">
        <f>HYPERLINK("https://www.policestationreps.com/reps.php?ID=2403&amp;venue=Bolton Crown Court&amp;pocoone=U1Q0IDRQUw==&amp;pocotwo=BL1 1SU")</f>
        <v>0</v>
      </c>
      <c r="E265" t="s">
        <v>545</v>
      </c>
      <c r="F265">
        <f>HYPERLINK("https://www.google.com/maps/search/Blackhorse Street, Greater Manchester BL1 1SU")</f>
        <v>0</v>
      </c>
      <c r="G265">
        <f>HYPERLINK("tel:01204 392 881")</f>
        <v>0</v>
      </c>
    </row>
    <row r="266" spans="1:7">
      <c r="A266" t="s">
        <v>269</v>
      </c>
      <c r="B266">
        <f>HYPERLINK("tel:07808 061 507")</f>
        <v>0</v>
      </c>
      <c r="C266" t="s">
        <v>540</v>
      </c>
      <c r="D266">
        <f>HYPERLINK("https://www.policestationreps.com/reps.php?ID=1891&amp;venue=Bolton Crown Court&amp;pocoone=U1Q0IDhYTA==&amp;pocotwo=BL1 1SU")</f>
        <v>0</v>
      </c>
      <c r="E266" t="s">
        <v>545</v>
      </c>
      <c r="F266">
        <f>HYPERLINK("https://www.google.com/maps/search/Blackhorse Street, Greater Manchester BL1 1SU")</f>
        <v>0</v>
      </c>
      <c r="G266">
        <f>HYPERLINK("tel:01204 392 881")</f>
        <v>0</v>
      </c>
    </row>
    <row r="267" spans="1:7">
      <c r="A267" t="s">
        <v>270</v>
      </c>
      <c r="B267">
        <f>HYPERLINK("tel:07944 892 270")</f>
        <v>0</v>
      </c>
      <c r="C267" t="s">
        <v>540</v>
      </c>
      <c r="D267">
        <f>HYPERLINK("https://www.policestationreps.com/reps.php?ID=426&amp;venue=Bolton Crown Court&amp;pocoone=UzEgMkVY&amp;pocotwo=BL1 1SU")</f>
        <v>0</v>
      </c>
      <c r="E267" t="s">
        <v>545</v>
      </c>
      <c r="F267">
        <f>HYPERLINK("https://www.google.com/maps/search/Blackhorse Street, Greater Manchester BL1 1SU")</f>
        <v>0</v>
      </c>
      <c r="G267">
        <f>HYPERLINK("tel:01204 392 881")</f>
        <v>0</v>
      </c>
    </row>
    <row r="268" spans="1:7">
      <c r="A268" t="s">
        <v>271</v>
      </c>
      <c r="B268">
        <f>HYPERLINK("tel:07557 304 163")</f>
        <v>0</v>
      </c>
      <c r="C268" t="s">
        <v>541</v>
      </c>
      <c r="D268">
        <f>HYPERLINK("https://www.policestationreps.com/reps.php?ID=2676&amp;venue=Bolton Crown Court&amp;pocoone=UzkgM0FS&amp;pocotwo=BL1 1SU")</f>
        <v>0</v>
      </c>
      <c r="E268" t="s">
        <v>545</v>
      </c>
      <c r="F268">
        <f>HYPERLINK("https://www.google.com/maps/search/Blackhorse Street, Greater Manchester BL1 1SU")</f>
        <v>0</v>
      </c>
      <c r="G268">
        <f>HYPERLINK("tel:01204 392 881")</f>
        <v>0</v>
      </c>
    </row>
    <row r="269" spans="1:7">
      <c r="A269" t="s">
        <v>272</v>
      </c>
      <c r="B269">
        <f>HYPERLINK("tel:07943 187 460")</f>
        <v>0</v>
      </c>
      <c r="C269" t="s">
        <v>539</v>
      </c>
      <c r="D269">
        <f>HYPERLINK("https://www.policestationreps.com/reps.php?ID=2206&amp;venue=Bolton Crown Court&amp;pocoone=U1QzIDdSQQ==&amp;pocotwo=BL1 1SU")</f>
        <v>0</v>
      </c>
      <c r="E269" t="s">
        <v>545</v>
      </c>
      <c r="F269">
        <f>HYPERLINK("https://www.google.com/maps/search/Blackhorse Street, Greater Manchester BL1 1SU")</f>
        <v>0</v>
      </c>
      <c r="G269">
        <f>HYPERLINK("tel:01204 392 881")</f>
        <v>0</v>
      </c>
    </row>
    <row r="270" spans="1:7">
      <c r="A270" t="s">
        <v>273</v>
      </c>
      <c r="B270">
        <f>HYPERLINK("tel:07725 814 027")</f>
        <v>0</v>
      </c>
      <c r="C270" t="s">
        <v>539</v>
      </c>
      <c r="D270">
        <f>HYPERLINK("https://www.policestationreps.com/reps.php?ID=2714&amp;venue=Bolton Crown Court&amp;pocoone=TFMxNCAyQVc=&amp;pocotwo=BL1 1SU")</f>
        <v>0</v>
      </c>
      <c r="E270" t="s">
        <v>545</v>
      </c>
      <c r="F270">
        <f>HYPERLINK("https://www.google.com/maps/search/Blackhorse Street, Greater Manchester BL1 1SU")</f>
        <v>0</v>
      </c>
      <c r="G270">
        <f>HYPERLINK("tel:01204 392 881")</f>
        <v>0</v>
      </c>
    </row>
    <row r="271" spans="1:7">
      <c r="A271" t="s">
        <v>274</v>
      </c>
      <c r="B271">
        <f>HYPERLINK("tel:07885 582 686")</f>
        <v>0</v>
      </c>
      <c r="C271" t="s">
        <v>540</v>
      </c>
      <c r="D271">
        <f>HYPERLINK("https://www.policestationreps.com/reps.php?ID=1864&amp;venue=Bolton Crown Court&amp;pocoone=UzIgNVNZ&amp;pocotwo=BL1 1SU")</f>
        <v>0</v>
      </c>
      <c r="E271" t="s">
        <v>545</v>
      </c>
      <c r="F271">
        <f>HYPERLINK("https://www.google.com/maps/search/Blackhorse Street, Greater Manchester BL1 1SU")</f>
        <v>0</v>
      </c>
      <c r="G271">
        <f>HYPERLINK("tel:01204 392 881")</f>
        <v>0</v>
      </c>
    </row>
    <row r="272" spans="1:7">
      <c r="A272" t="s">
        <v>275</v>
      </c>
      <c r="B272">
        <f>HYPERLINK("tel:07747 091 314")</f>
        <v>0</v>
      </c>
      <c r="C272" t="s">
        <v>539</v>
      </c>
      <c r="D272">
        <f>HYPERLINK("https://www.policestationreps.com/reps.php?ID=1598&amp;venue=Bolton Crown Court&amp;pocoone=V0YxMCA0U0o=&amp;pocotwo=BL1 1SU")</f>
        <v>0</v>
      </c>
      <c r="E272" t="s">
        <v>545</v>
      </c>
      <c r="F272">
        <f>HYPERLINK("https://www.google.com/maps/search/Blackhorse Street, Greater Manchester BL1 1SU")</f>
        <v>0</v>
      </c>
      <c r="G272">
        <f>HYPERLINK("tel:01204 392 881")</f>
        <v>0</v>
      </c>
    </row>
    <row r="273" spans="1:7">
      <c r="A273" t="s">
        <v>276</v>
      </c>
      <c r="B273">
        <f>HYPERLINK("tel:07815 049 649")</f>
        <v>0</v>
      </c>
      <c r="C273" t="s">
        <v>539</v>
      </c>
      <c r="D273">
        <f>HYPERLINK("https://www.policestationreps.com/reps.php?ID=2105&amp;venue=Bolton Crown Court&amp;pocoone=V0Y5IDFCRQ==&amp;pocotwo=BL1 1SU")</f>
        <v>0</v>
      </c>
      <c r="E273" t="s">
        <v>545</v>
      </c>
      <c r="F273">
        <f>HYPERLINK("https://www.google.com/maps/search/Blackhorse Street, Greater Manchester BL1 1SU")</f>
        <v>0</v>
      </c>
      <c r="G273">
        <f>HYPERLINK("tel:01204 392 881")</f>
        <v>0</v>
      </c>
    </row>
    <row r="274" spans="1:7">
      <c r="A274" t="s">
        <v>277</v>
      </c>
      <c r="B274">
        <f>HYPERLINK("tel:07355 641 354")</f>
        <v>0</v>
      </c>
      <c r="C274" t="s">
        <v>539</v>
      </c>
      <c r="D274">
        <f>HYPERLINK("https://www.policestationreps.com/reps.php?ID=2841&amp;venue=Bolton Crown Court&amp;pocoone=UzEzIDlMSg==&amp;pocotwo=BL1 1SU")</f>
        <v>0</v>
      </c>
      <c r="E274" t="s">
        <v>545</v>
      </c>
      <c r="F274">
        <f>HYPERLINK("https://www.google.com/maps/search/Blackhorse Street, Greater Manchester BL1 1SU")</f>
        <v>0</v>
      </c>
      <c r="G274">
        <f>HYPERLINK("tel:01204 392 881")</f>
        <v>0</v>
      </c>
    </row>
    <row r="275" spans="1:7">
      <c r="A275" t="s">
        <v>278</v>
      </c>
      <c r="B275">
        <f>HYPERLINK("tel:07484 658 203")</f>
        <v>0</v>
      </c>
      <c r="C275" t="s">
        <v>540</v>
      </c>
      <c r="D275">
        <f>HYPERLINK("https://www.policestationreps.com/reps.php?ID=2650&amp;venue=Bolton Crown Court&amp;pocoone=UzYwIDVFVw==&amp;pocotwo=BL1 1SU")</f>
        <v>0</v>
      </c>
      <c r="E275" t="s">
        <v>545</v>
      </c>
      <c r="F275">
        <f>HYPERLINK("https://www.google.com/maps/search/Blackhorse Street, Greater Manchester BL1 1SU")</f>
        <v>0</v>
      </c>
      <c r="G275">
        <f>HYPERLINK("tel:01204 392 881")</f>
        <v>0</v>
      </c>
    </row>
    <row r="276" spans="1:7">
      <c r="A276" t="s">
        <v>279</v>
      </c>
      <c r="B276">
        <f>HYPERLINK("tel:07805 425 137")</f>
        <v>0</v>
      </c>
      <c r="C276" t="s">
        <v>539</v>
      </c>
      <c r="D276">
        <f>HYPERLINK("https://www.policestationreps.com/reps.php?ID=2795&amp;venue=Bolton Crown Court&amp;pocoone=V0Y4IDRRWA==&amp;pocotwo=BL1 1SU")</f>
        <v>0</v>
      </c>
      <c r="E276" t="s">
        <v>545</v>
      </c>
      <c r="F276">
        <f>HYPERLINK("https://www.google.com/maps/search/Blackhorse Street, Greater Manchester BL1 1SU")</f>
        <v>0</v>
      </c>
      <c r="G276">
        <f>HYPERLINK("tel:01204 392 881")</f>
        <v>0</v>
      </c>
    </row>
    <row r="277" spans="1:7">
      <c r="A277" t="s">
        <v>280</v>
      </c>
      <c r="B277">
        <f>HYPERLINK("tel:07498 859 198")</f>
        <v>0</v>
      </c>
      <c r="C277" t="s">
        <v>539</v>
      </c>
      <c r="D277">
        <f>HYPERLINK("https://www.policestationreps.com/reps.php?ID=2280&amp;venue=Bolton Crown Court&amp;pocoone=UzYwIDVIWQ==&amp;pocotwo=BL1 1SU")</f>
        <v>0</v>
      </c>
      <c r="E277" t="s">
        <v>545</v>
      </c>
      <c r="F277">
        <f>HYPERLINK("https://www.google.com/maps/search/Blackhorse Street, Greater Manchester BL1 1SU")</f>
        <v>0</v>
      </c>
      <c r="G277">
        <f>HYPERLINK("tel:01204 392 881")</f>
        <v>0</v>
      </c>
    </row>
    <row r="278" spans="1:7">
      <c r="A278" t="s">
        <v>281</v>
      </c>
      <c r="B278">
        <f>HYPERLINK("tel:07481 733 961")</f>
        <v>0</v>
      </c>
      <c r="C278" t="s">
        <v>539</v>
      </c>
      <c r="D278">
        <f>HYPERLINK("https://www.policestationreps.com/reps.php?ID=2640&amp;venue=Bolton Crown Court&amp;pocoone=TFMyNSAyQVI=&amp;pocotwo=BL1 1SU")</f>
        <v>0</v>
      </c>
      <c r="E278" t="s">
        <v>545</v>
      </c>
      <c r="F278">
        <f>HYPERLINK("https://www.google.com/maps/search/Blackhorse Street, Greater Manchester BL1 1SU")</f>
        <v>0</v>
      </c>
      <c r="G278">
        <f>HYPERLINK("tel:01204 392 881")</f>
        <v>0</v>
      </c>
    </row>
    <row r="279" spans="1:7">
      <c r="A279" t="s">
        <v>282</v>
      </c>
      <c r="B279">
        <f>HYPERLINK("tel:07983 335 123")</f>
        <v>0</v>
      </c>
      <c r="C279" t="s">
        <v>540</v>
      </c>
      <c r="D279">
        <f>HYPERLINK("https://www.policestationreps.com/reps.php?ID=2451&amp;venue=Bolton Crown Court&amp;pocoone=UzQwIDJHSA==&amp;pocotwo=BL1 1SU")</f>
        <v>0</v>
      </c>
      <c r="E279" t="s">
        <v>545</v>
      </c>
      <c r="F279">
        <f>HYPERLINK("https://www.google.com/maps/search/Blackhorse Street, Greater Manchester BL1 1SU")</f>
        <v>0</v>
      </c>
      <c r="G279">
        <f>HYPERLINK("tel:01204 392 881")</f>
        <v>0</v>
      </c>
    </row>
    <row r="280" spans="1:7">
      <c r="A280" t="s">
        <v>283</v>
      </c>
      <c r="B280">
        <f>HYPERLINK("tel:07919 353 239")</f>
        <v>0</v>
      </c>
      <c r="C280" t="s">
        <v>539</v>
      </c>
      <c r="D280">
        <f>HYPERLINK("https://www.policestationreps.com/reps.php?ID=84&amp;venue=Bolton Crown Court&amp;pocoone=TFMyNSAxQVU=&amp;pocotwo=BL1 1SU")</f>
        <v>0</v>
      </c>
      <c r="E280" t="s">
        <v>545</v>
      </c>
      <c r="F280">
        <f>HYPERLINK("https://www.google.com/maps/search/Blackhorse Street, Greater Manchester BL1 1SU")</f>
        <v>0</v>
      </c>
      <c r="G280">
        <f>HYPERLINK("tel:01204 392 881")</f>
        <v>0</v>
      </c>
    </row>
    <row r="281" spans="1:7">
      <c r="A281" t="s">
        <v>284</v>
      </c>
      <c r="B281">
        <f>HYPERLINK("tel:07595 474 161")</f>
        <v>0</v>
      </c>
      <c r="C281" t="s">
        <v>539</v>
      </c>
      <c r="D281">
        <f>HYPERLINK("https://www.policestationreps.com/reps.php?ID=2196&amp;venue=Bolton Crown Court&amp;pocoone=TFMyNSA2TFE=&amp;pocotwo=BL1 1SU")</f>
        <v>0</v>
      </c>
      <c r="E281" t="s">
        <v>545</v>
      </c>
      <c r="F281">
        <f>HYPERLINK("https://www.google.com/maps/search/Blackhorse Street, Greater Manchester BL1 1SU")</f>
        <v>0</v>
      </c>
      <c r="G281">
        <f>HYPERLINK("tel:01204 392 881")</f>
        <v>0</v>
      </c>
    </row>
    <row r="282" spans="1:7">
      <c r="A282" t="s">
        <v>285</v>
      </c>
      <c r="B282">
        <f>HYPERLINK("tel:07525 075 285")</f>
        <v>0</v>
      </c>
      <c r="C282" t="s">
        <v>539</v>
      </c>
      <c r="D282">
        <f>HYPERLINK("https://www.policestationreps.com/reps.php?ID=2758&amp;venue=Bolton Crown Court&amp;pocoone=TFMyNSA2Qk4=&amp;pocotwo=BL1 1SU")</f>
        <v>0</v>
      </c>
      <c r="E282" t="s">
        <v>545</v>
      </c>
      <c r="F282">
        <f>HYPERLINK("https://www.google.com/maps/search/Blackhorse Street, Greater Manchester BL1 1SU")</f>
        <v>0</v>
      </c>
      <c r="G282">
        <f>HYPERLINK("tel:01204 392 881")</f>
        <v>0</v>
      </c>
    </row>
    <row r="283" spans="1:7">
      <c r="A283" t="s">
        <v>286</v>
      </c>
      <c r="B283">
        <f>HYPERLINK("tel:01246 283 000")</f>
        <v>0</v>
      </c>
      <c r="C283" t="s">
        <v>539</v>
      </c>
      <c r="D283">
        <f>HYPERLINK("https://www.policestationreps.com/reps.php?ID=1923&amp;venue=Bolton Crown Court&amp;pocoone=UzQwIDFKWQ==&amp;pocotwo=BL1 1SU")</f>
        <v>0</v>
      </c>
      <c r="E283" t="s">
        <v>545</v>
      </c>
      <c r="F283">
        <f>HYPERLINK("https://www.google.com/maps/search/Blackhorse Street, Greater Manchester BL1 1SU")</f>
        <v>0</v>
      </c>
      <c r="G283">
        <f>HYPERLINK("tel:01204 392 881")</f>
        <v>0</v>
      </c>
    </row>
    <row r="284" spans="1:7">
      <c r="A284" t="s">
        <v>287</v>
      </c>
      <c r="B284">
        <f>HYPERLINK("tel:01977 670 159")</f>
        <v>0</v>
      </c>
      <c r="C284" t="s">
        <v>539</v>
      </c>
      <c r="D284">
        <f>HYPERLINK("https://www.policestationreps.com/reps.php?ID=68&amp;venue=Bolton Crown Court&amp;pocoone=V0YxMSA5TlU=&amp;pocotwo=BL1 1SU")</f>
        <v>0</v>
      </c>
      <c r="E284" t="s">
        <v>545</v>
      </c>
      <c r="F284">
        <f>HYPERLINK("https://www.google.com/maps/search/Blackhorse Street, Greater Manchester BL1 1SU")</f>
        <v>0</v>
      </c>
      <c r="G284">
        <f>HYPERLINK("tel:01204 392 881")</f>
        <v>0</v>
      </c>
    </row>
    <row r="285" spans="1:7">
      <c r="A285" t="s">
        <v>288</v>
      </c>
      <c r="B285">
        <f>HYPERLINK("tel:07866 009 497")</f>
        <v>0</v>
      </c>
      <c r="C285" t="s">
        <v>539</v>
      </c>
      <c r="D285">
        <f>HYPERLINK("https://www.policestationreps.com/reps.php?ID=2229&amp;venue=Bolton Crown Court&amp;pocoone=U1QxNSA4WlM=&amp;pocotwo=BL1 1SU")</f>
        <v>0</v>
      </c>
      <c r="E285" t="s">
        <v>545</v>
      </c>
      <c r="F285">
        <f>HYPERLINK("https://www.google.com/maps/search/Blackhorse Street, Greater Manchester BL1 1SU")</f>
        <v>0</v>
      </c>
      <c r="G285">
        <f>HYPERLINK("tel:01204 392 881")</f>
        <v>0</v>
      </c>
    </row>
    <row r="286" spans="1:7">
      <c r="A286" t="s">
        <v>289</v>
      </c>
      <c r="B286">
        <f>HYPERLINK("tel:07886 826 473")</f>
        <v>0</v>
      </c>
      <c r="C286" t="s">
        <v>539</v>
      </c>
      <c r="D286">
        <f>HYPERLINK("https://www.policestationreps.com/reps.php?ID=2338&amp;venue=Bolton Crown Court&amp;pocoone=UzI2IDFKRw==&amp;pocotwo=BL1 1SU")</f>
        <v>0</v>
      </c>
      <c r="E286" t="s">
        <v>545</v>
      </c>
      <c r="F286">
        <f>HYPERLINK("https://www.google.com/maps/search/Blackhorse Street, Greater Manchester BL1 1SU")</f>
        <v>0</v>
      </c>
      <c r="G286">
        <f>HYPERLINK("tel:01204 392 881")</f>
        <v>0</v>
      </c>
    </row>
    <row r="287" spans="1:7">
      <c r="A287" t="s">
        <v>290</v>
      </c>
      <c r="B287">
        <f>HYPERLINK("tel:07541 578 080")</f>
        <v>0</v>
      </c>
      <c r="C287" t="s">
        <v>540</v>
      </c>
      <c r="D287">
        <f>HYPERLINK("https://www.policestationreps.com/reps.php?ID=2813&amp;venue=Bolton Crown Court&amp;pocoone=REU2IDFUSg==&amp;pocotwo=BL1 1SU")</f>
        <v>0</v>
      </c>
      <c r="E287" t="s">
        <v>545</v>
      </c>
      <c r="F287">
        <f>HYPERLINK("https://www.google.com/maps/search/Blackhorse Street, Greater Manchester BL1 1SU")</f>
        <v>0</v>
      </c>
      <c r="G287">
        <f>HYPERLINK("tel:01204 392 881")</f>
        <v>0</v>
      </c>
    </row>
    <row r="288" spans="1:7">
      <c r="A288" t="s">
        <v>291</v>
      </c>
      <c r="B288">
        <f>HYPERLINK("tel:07840 602 303")</f>
        <v>0</v>
      </c>
      <c r="C288" t="s">
        <v>539</v>
      </c>
      <c r="D288">
        <f>HYPERLINK("https://www.policestationreps.com/reps.php?ID=1965&amp;venue=Bolton Crown Court&amp;pocoone=TFMyNCA4RVE=&amp;pocotwo=BL1 1SU")</f>
        <v>0</v>
      </c>
      <c r="E288" t="s">
        <v>545</v>
      </c>
      <c r="F288">
        <f>HYPERLINK("https://www.google.com/maps/search/Blackhorse Street, Greater Manchester BL1 1SU")</f>
        <v>0</v>
      </c>
      <c r="G288">
        <f>HYPERLINK("tel:01204 392 881")</f>
        <v>0</v>
      </c>
    </row>
    <row r="289" spans="1:7">
      <c r="A289" t="s">
        <v>292</v>
      </c>
      <c r="B289">
        <f>HYPERLINK("tel:07815 788 297")</f>
        <v>0</v>
      </c>
      <c r="C289" t="s">
        <v>541</v>
      </c>
      <c r="D289">
        <f>HYPERLINK("https://www.policestationreps.com/reps.php?ID=1920&amp;venue=Bolton Crown Court&amp;pocoone=RE41IDhCWQ==&amp;pocotwo=BL1 1SU")</f>
        <v>0</v>
      </c>
      <c r="E289" t="s">
        <v>545</v>
      </c>
      <c r="F289">
        <f>HYPERLINK("https://www.google.com/maps/search/Blackhorse Street, Greater Manchester BL1 1SU")</f>
        <v>0</v>
      </c>
      <c r="G289">
        <f>HYPERLINK("tel:01204 392 881")</f>
        <v>0</v>
      </c>
    </row>
    <row r="290" spans="1:7">
      <c r="A290" t="s">
        <v>293</v>
      </c>
      <c r="B290">
        <f>HYPERLINK("tel:07794 154 293")</f>
        <v>0</v>
      </c>
      <c r="C290" t="s">
        <v>539</v>
      </c>
      <c r="D290">
        <f>HYPERLINK("https://www.policestationreps.com/reps.php?ID=1558&amp;venue=Bolton Crown Court&amp;pocoone=U1QyMCAwQk4=&amp;pocotwo=BL1 1SU")</f>
        <v>0</v>
      </c>
      <c r="E290" t="s">
        <v>545</v>
      </c>
      <c r="F290">
        <f>HYPERLINK("https://www.google.com/maps/search/Blackhorse Street, Greater Manchester BL1 1SU")</f>
        <v>0</v>
      </c>
      <c r="G290">
        <f>HYPERLINK("tel:01204 392 881")</f>
        <v>0</v>
      </c>
    </row>
    <row r="291" spans="1:7">
      <c r="A291" t="s">
        <v>294</v>
      </c>
      <c r="B291">
        <f>HYPERLINK("tel:01785 824 548")</f>
        <v>0</v>
      </c>
      <c r="C291" t="s">
        <v>539</v>
      </c>
      <c r="D291">
        <f>HYPERLINK("https://www.policestationreps.com/reps.php?ID=273&amp;venue=Bolton Crown Court&amp;pocoone=U1QyMCAwQUc=&amp;pocotwo=BL1 1SU")</f>
        <v>0</v>
      </c>
      <c r="E291" t="s">
        <v>545</v>
      </c>
      <c r="F291">
        <f>HYPERLINK("https://www.google.com/maps/search/Blackhorse Street, Greater Manchester BL1 1SU")</f>
        <v>0</v>
      </c>
      <c r="G291">
        <f>HYPERLINK("tel:01204 392 881")</f>
        <v>0</v>
      </c>
    </row>
    <row r="292" spans="1:7">
      <c r="A292" t="s">
        <v>295</v>
      </c>
      <c r="B292">
        <f>HYPERLINK("tel:07738 856 736")</f>
        <v>0</v>
      </c>
      <c r="C292" t="s">
        <v>539</v>
      </c>
      <c r="D292">
        <f>HYPERLINK("https://www.policestationreps.com/reps.php?ID=2566&amp;venue=Bolton Crown Court&amp;pocoone=U1kxMSAyRFE=&amp;pocotwo=BL1 1SU")</f>
        <v>0</v>
      </c>
      <c r="E292" t="s">
        <v>545</v>
      </c>
      <c r="F292">
        <f>HYPERLINK("https://www.google.com/maps/search/Blackhorse Street, Greater Manchester BL1 1SU")</f>
        <v>0</v>
      </c>
      <c r="G292">
        <f>HYPERLINK("tel:01204 392 881")</f>
        <v>0</v>
      </c>
    </row>
    <row r="293" spans="1:7">
      <c r="A293" t="s">
        <v>296</v>
      </c>
      <c r="B293">
        <f>HYPERLINK("tel:07871 316 122")</f>
        <v>0</v>
      </c>
      <c r="C293" t="s">
        <v>540</v>
      </c>
      <c r="D293">
        <f>HYPERLINK("https://www.policestationreps.com/reps.php?ID=2316&amp;venue=Bolton Crown Court&amp;pocoone=U1kxMSAzR1k=&amp;pocotwo=BL1 1SU")</f>
        <v>0</v>
      </c>
      <c r="E293" t="s">
        <v>545</v>
      </c>
      <c r="F293">
        <f>HYPERLINK("https://www.google.com/maps/search/Blackhorse Street, Greater Manchester BL1 1SU")</f>
        <v>0</v>
      </c>
      <c r="G293">
        <f>HYPERLINK("tel:01204 392 881")</f>
        <v>0</v>
      </c>
    </row>
    <row r="294" spans="1:7">
      <c r="A294" t="s">
        <v>297</v>
      </c>
      <c r="B294">
        <f>HYPERLINK("tel:07825 805 480")</f>
        <v>0</v>
      </c>
      <c r="C294" t="s">
        <v>539</v>
      </c>
      <c r="D294">
        <f>HYPERLINK("https://www.policestationreps.com/reps.php?ID=2569&amp;venue=Bolton Crown Court&amp;pocoone=U1QxNyA0RkU=&amp;pocotwo=BL1 1SU")</f>
        <v>0</v>
      </c>
      <c r="E294" t="s">
        <v>545</v>
      </c>
      <c r="F294">
        <f>HYPERLINK("https://www.google.com/maps/search/Blackhorse Street, Greater Manchester BL1 1SU")</f>
        <v>0</v>
      </c>
      <c r="G294">
        <f>HYPERLINK("tel:01204 392 881")</f>
        <v>0</v>
      </c>
    </row>
    <row r="295" spans="1:7">
      <c r="A295" t="s">
        <v>298</v>
      </c>
      <c r="B295">
        <f>HYPERLINK("tel:07738 933 693")</f>
        <v>0</v>
      </c>
      <c r="C295" t="s">
        <v>540</v>
      </c>
      <c r="D295">
        <f>HYPERLINK("https://www.policestationreps.com/reps.php?ID=2034&amp;venue=Bolton Crown Court&amp;pocoone=RE4xMSA5UVk=&amp;pocotwo=BL1 1SU")</f>
        <v>0</v>
      </c>
      <c r="E295" t="s">
        <v>545</v>
      </c>
      <c r="F295">
        <f>HYPERLINK("https://www.google.com/maps/search/Blackhorse Street, Greater Manchester BL1 1SU")</f>
        <v>0</v>
      </c>
      <c r="G295">
        <f>HYPERLINK("tel:01204 392 881")</f>
        <v>0</v>
      </c>
    </row>
    <row r="296" spans="1:7">
      <c r="A296" t="s">
        <v>299</v>
      </c>
      <c r="B296">
        <f>HYPERLINK("tel:07545 805 999")</f>
        <v>0</v>
      </c>
      <c r="C296" t="s">
        <v>539</v>
      </c>
      <c r="D296">
        <f>HYPERLINK("https://www.policestationreps.com/reps.php?ID=735&amp;venue=Bolton Crown Court&amp;pocoone=RE4zIDFBQQ==&amp;pocotwo=BL1 1SU")</f>
        <v>0</v>
      </c>
      <c r="E296" t="s">
        <v>545</v>
      </c>
      <c r="F296">
        <f>HYPERLINK("https://www.google.com/maps/search/Blackhorse Street, Greater Manchester BL1 1SU")</f>
        <v>0</v>
      </c>
      <c r="G296">
        <f>HYPERLINK("tel:01204 392 881")</f>
        <v>0</v>
      </c>
    </row>
    <row r="297" spans="1:7">
      <c r="A297" t="s">
        <v>300</v>
      </c>
      <c r="B297">
        <f>HYPERLINK("tel:07487 652 352")</f>
        <v>0</v>
      </c>
      <c r="C297" t="s">
        <v>539</v>
      </c>
      <c r="D297">
        <f>HYPERLINK("https://www.policestationreps.com/reps.php?ID=2827&amp;venue=Bolton Crown Court&amp;pocoone=REU1IDNOVQ==&amp;pocotwo=BL1 1SU")</f>
        <v>0</v>
      </c>
      <c r="E297" t="s">
        <v>545</v>
      </c>
      <c r="F297">
        <f>HYPERLINK("https://www.google.com/maps/search/Blackhorse Street, Greater Manchester BL1 1SU")</f>
        <v>0</v>
      </c>
      <c r="G297">
        <f>HYPERLINK("tel:01204 392 881")</f>
        <v>0</v>
      </c>
    </row>
    <row r="298" spans="1:7">
      <c r="A298" t="s">
        <v>301</v>
      </c>
      <c r="B298">
        <f>HYPERLINK("tel:07496 422 288")</f>
        <v>0</v>
      </c>
      <c r="C298" t="s">
        <v>539</v>
      </c>
      <c r="D298">
        <f>HYPERLINK("https://www.policestationreps.com/reps.php?ID=2346&amp;venue=Bolton Crown Court&amp;pocoone=TkcyMCA5V1E=&amp;pocotwo=BL1 1SU")</f>
        <v>0</v>
      </c>
      <c r="E298" t="s">
        <v>545</v>
      </c>
      <c r="F298">
        <f>HYPERLINK("https://www.google.com/maps/search/Blackhorse Street, Greater Manchester BL1 1SU")</f>
        <v>0</v>
      </c>
      <c r="G298">
        <f>HYPERLINK("tel:01204 392 881")</f>
        <v>0</v>
      </c>
    </row>
    <row r="299" spans="1:7">
      <c r="A299" t="s">
        <v>302</v>
      </c>
      <c r="B299">
        <f>HYPERLINK("tel:07785 115 009")</f>
        <v>0</v>
      </c>
      <c r="C299" t="s">
        <v>540</v>
      </c>
      <c r="D299">
        <f>HYPERLINK("https://www.policestationreps.com/reps.php?ID=1463&amp;venue=Bolton Crown Court&amp;pocoone=WU8yMyAzU1U=&amp;pocotwo=BL1 1SU")</f>
        <v>0</v>
      </c>
      <c r="E299" t="s">
        <v>545</v>
      </c>
      <c r="F299">
        <f>HYPERLINK("https://www.google.com/maps/search/Blackhorse Street, Greater Manchester BL1 1SU")</f>
        <v>0</v>
      </c>
      <c r="G299">
        <f>HYPERLINK("tel:01204 392 881")</f>
        <v>0</v>
      </c>
    </row>
    <row r="300" spans="1:7">
      <c r="A300" t="s">
        <v>303</v>
      </c>
      <c r="B300">
        <f>HYPERLINK("tel:07943 247 999")</f>
        <v>0</v>
      </c>
      <c r="C300" t="s">
        <v>540</v>
      </c>
      <c r="D300">
        <f>HYPERLINK("https://www.policestationreps.com/reps.php?ID=1111&amp;venue=Bolton Crown Court&amp;pocoone=REUyMiAzUEw=&amp;pocotwo=BL1 1SU")</f>
        <v>0</v>
      </c>
      <c r="E300" t="s">
        <v>545</v>
      </c>
      <c r="F300">
        <f>HYPERLINK("https://www.google.com/maps/search/Blackhorse Street, Greater Manchester BL1 1SU")</f>
        <v>0</v>
      </c>
      <c r="G300">
        <f>HYPERLINK("tel:01204 392 881")</f>
        <v>0</v>
      </c>
    </row>
    <row r="301" spans="1:7">
      <c r="A301" t="s">
        <v>304</v>
      </c>
      <c r="B301">
        <f>HYPERLINK("tel:07815 912 897")</f>
        <v>0</v>
      </c>
      <c r="C301" t="s">
        <v>539</v>
      </c>
      <c r="D301">
        <f>HYPERLINK("https://www.policestationreps.com/reps.php?ID=142&amp;venue=Bolton Crown Court&amp;pocoone=REUyMiAyVVU=&amp;pocotwo=BL1 1SU")</f>
        <v>0</v>
      </c>
      <c r="E301" t="s">
        <v>545</v>
      </c>
      <c r="F301">
        <f>HYPERLINK("https://www.google.com/maps/search/Blackhorse Street, Greater Manchester BL1 1SU")</f>
        <v>0</v>
      </c>
      <c r="G301">
        <f>HYPERLINK("tel:01204 392 881")</f>
        <v>0</v>
      </c>
    </row>
    <row r="302" spans="1:7">
      <c r="A302" t="s">
        <v>305</v>
      </c>
      <c r="B302">
        <f>HYPERLINK("tel:07377 393 234")</f>
        <v>0</v>
      </c>
      <c r="C302" t="s">
        <v>540</v>
      </c>
      <c r="D302">
        <f>HYPERLINK("https://www.policestationreps.com/reps.php?ID=1765&amp;venue=Bolton Crown Court&amp;pocoone=VEYxIDFKVw==&amp;pocotwo=BL1 1SU")</f>
        <v>0</v>
      </c>
      <c r="E302" t="s">
        <v>545</v>
      </c>
      <c r="F302">
        <f>HYPERLINK("https://www.google.com/maps/search/Blackhorse Street, Greater Manchester BL1 1SU")</f>
        <v>0</v>
      </c>
      <c r="G302">
        <f>HYPERLINK("tel:01204 392 881")</f>
        <v>0</v>
      </c>
    </row>
    <row r="303" spans="1:7">
      <c r="A303" t="s">
        <v>306</v>
      </c>
      <c r="B303">
        <f>HYPERLINK("tel:07866 786 797")</f>
        <v>0</v>
      </c>
      <c r="C303" t="s">
        <v>539</v>
      </c>
      <c r="D303">
        <f>HYPERLINK("https://www.policestationreps.com/reps.php?ID=2680&amp;venue=Bolton Crown Court&amp;pocoone=VEYxIDFQSA==&amp;pocotwo=BL1 1SU")</f>
        <v>0</v>
      </c>
      <c r="E303" t="s">
        <v>545</v>
      </c>
      <c r="F303">
        <f>HYPERLINK("https://www.google.com/maps/search/Blackhorse Street, Greater Manchester BL1 1SU")</f>
        <v>0</v>
      </c>
      <c r="G303">
        <f>HYPERLINK("tel:01204 392 881")</f>
        <v>0</v>
      </c>
    </row>
    <row r="304" spans="1:7">
      <c r="A304" t="s">
        <v>307</v>
      </c>
      <c r="B304">
        <f>HYPERLINK("tel:01952 243 346")</f>
        <v>0</v>
      </c>
      <c r="C304" t="s">
        <v>541</v>
      </c>
      <c r="D304">
        <f>HYPERLINK("https://www.policestationreps.com/reps.php?ID=2203&amp;venue=Bolton Crown Court&amp;pocoone=VEYxIDFIQg==&amp;pocotwo=BL1 1SU")</f>
        <v>0</v>
      </c>
      <c r="E304" t="s">
        <v>545</v>
      </c>
      <c r="F304">
        <f>HYPERLINK("https://www.google.com/maps/search/Blackhorse Street, Greater Manchester BL1 1SU")</f>
        <v>0</v>
      </c>
      <c r="G304">
        <f>HYPERLINK("tel:01204 392 881")</f>
        <v>0</v>
      </c>
    </row>
    <row r="305" spans="1:7">
      <c r="A305" t="s">
        <v>308</v>
      </c>
      <c r="B305">
        <f>HYPERLINK("tel:07432 809 026")</f>
        <v>0</v>
      </c>
      <c r="C305" t="s">
        <v>539</v>
      </c>
      <c r="D305">
        <f>HYPERLINK("https://www.policestationreps.com/reps.php?ID=1922&amp;venue=Bolton Crown Court&amp;pocoone=V1MxNSAzTEQ=&amp;pocotwo=BL1 1SU")</f>
        <v>0</v>
      </c>
      <c r="E305" t="s">
        <v>545</v>
      </c>
      <c r="F305">
        <f>HYPERLINK("https://www.google.com/maps/search/Blackhorse Street, Greater Manchester BL1 1SU")</f>
        <v>0</v>
      </c>
      <c r="G305">
        <f>HYPERLINK("tel:01204 392 881")</f>
        <v>0</v>
      </c>
    </row>
    <row r="306" spans="1:7">
      <c r="A306" t="s">
        <v>309</v>
      </c>
      <c r="B306">
        <f>HYPERLINK("tel:07743 292 209")</f>
        <v>0</v>
      </c>
      <c r="C306" t="s">
        <v>540</v>
      </c>
      <c r="D306">
        <f>HYPERLINK("https://www.policestationreps.com/reps.php?ID=1074&amp;venue=Bolton Crown Court&amp;pocoone=REUyMyAzWFg=&amp;pocotwo=BL1 1SU")</f>
        <v>0</v>
      </c>
      <c r="E306" t="s">
        <v>545</v>
      </c>
      <c r="F306">
        <f>HYPERLINK("https://www.google.com/maps/search/Blackhorse Street, Greater Manchester BL1 1SU")</f>
        <v>0</v>
      </c>
      <c r="G306">
        <f>HYPERLINK("tel:01204 392 881")</f>
        <v>0</v>
      </c>
    </row>
    <row r="307" spans="1:7">
      <c r="A307" t="s">
        <v>310</v>
      </c>
      <c r="B307">
        <f>HYPERLINK("tel:07718 942 815")</f>
        <v>0</v>
      </c>
      <c r="C307" t="s">
        <v>539</v>
      </c>
      <c r="D307">
        <f>HYPERLINK("https://www.policestationreps.com/reps.php?ID=2122&amp;venue=Bolton Crown Court&amp;pocoone=REUyMyA2Ukc=&amp;pocotwo=BL1 1SU")</f>
        <v>0</v>
      </c>
      <c r="E307" t="s">
        <v>545</v>
      </c>
      <c r="F307">
        <f>HYPERLINK("https://www.google.com/maps/search/Blackhorse Street, Greater Manchester BL1 1SU")</f>
        <v>0</v>
      </c>
      <c r="G307">
        <f>HYPERLINK("tel:01204 392 881")</f>
        <v>0</v>
      </c>
    </row>
    <row r="308" spans="1:7">
      <c r="A308" t="s">
        <v>311</v>
      </c>
      <c r="B308">
        <f>HYPERLINK("tel:07842 506 641")</f>
        <v>0</v>
      </c>
      <c r="C308" t="s">
        <v>539</v>
      </c>
      <c r="D308">
        <f>HYPERLINK("https://www.policestationreps.com/reps.php?ID=2849&amp;venue=Bolton Crown Court&amp;pocoone=VEYyIDlUWg==&amp;pocotwo=BL1 1SU")</f>
        <v>0</v>
      </c>
      <c r="E308" t="s">
        <v>545</v>
      </c>
      <c r="F308">
        <f>HYPERLINK("https://www.google.com/maps/search/Blackhorse Street, Greater Manchester BL1 1SU")</f>
        <v>0</v>
      </c>
      <c r="G308">
        <f>HYPERLINK("tel:01204 392 881")</f>
        <v>0</v>
      </c>
    </row>
    <row r="309" spans="1:7">
      <c r="A309" t="s">
        <v>312</v>
      </c>
      <c r="B309">
        <f>HYPERLINK("tel:07970 892 069")</f>
        <v>0</v>
      </c>
      <c r="D309">
        <f>HYPERLINK("https://www.policestationreps.com/reps.php?ID=993&amp;venue=Bolton Crown Court&amp;pocoone=REUyMyAyTEc=&amp;pocotwo=BL1 1SU")</f>
        <v>0</v>
      </c>
      <c r="E309" t="s">
        <v>545</v>
      </c>
      <c r="F309">
        <f>HYPERLINK("https://www.google.com/maps/search/Blackhorse Street, Greater Manchester BL1 1SU")</f>
        <v>0</v>
      </c>
      <c r="G309">
        <f>HYPERLINK("tel:01204 392 881")</f>
        <v>0</v>
      </c>
    </row>
    <row r="310" spans="1:7">
      <c r="A310" t="s">
        <v>313</v>
      </c>
      <c r="B310">
        <f>HYPERLINK("tel:07773 195 800")</f>
        <v>0</v>
      </c>
      <c r="C310" t="s">
        <v>541</v>
      </c>
      <c r="D310">
        <f>HYPERLINK("https://www.policestationreps.com/reps.php?ID=1983&amp;venue=Bolton Crown Court&amp;pocoone=REUyNCA5RlE=&amp;pocotwo=BL1 1SU")</f>
        <v>0</v>
      </c>
      <c r="E310" t="s">
        <v>545</v>
      </c>
      <c r="F310">
        <f>HYPERLINK("https://www.google.com/maps/search/Blackhorse Street, Greater Manchester BL1 1SU")</f>
        <v>0</v>
      </c>
      <c r="G310">
        <f>HYPERLINK("tel:01204 392 881")</f>
        <v>0</v>
      </c>
    </row>
    <row r="311" spans="1:7">
      <c r="A311" t="s">
        <v>314</v>
      </c>
      <c r="B311">
        <f>HYPERLINK("tel:07961 377 754")</f>
        <v>0</v>
      </c>
      <c r="C311" t="s">
        <v>539</v>
      </c>
      <c r="D311">
        <f>HYPERLINK("https://www.policestationreps.com/reps.php?ID=274&amp;venue=Bolton Crown Court&amp;pocoone=V1MxMiAwU1I=&amp;pocotwo=BL1 1SU")</f>
        <v>0</v>
      </c>
      <c r="E311" t="s">
        <v>545</v>
      </c>
      <c r="F311">
        <f>HYPERLINK("https://www.google.com/maps/search/Blackhorse Street, Greater Manchester BL1 1SU")</f>
        <v>0</v>
      </c>
      <c r="G311">
        <f>HYPERLINK("tel:01204 392 881")</f>
        <v>0</v>
      </c>
    </row>
    <row r="312" spans="1:7">
      <c r="A312" t="s">
        <v>315</v>
      </c>
      <c r="B312">
        <f>HYPERLINK("tel:07723 915 128")</f>
        <v>0</v>
      </c>
      <c r="C312" t="s">
        <v>540</v>
      </c>
      <c r="D312">
        <f>HYPERLINK("https://www.policestationreps.com/reps.php?ID=1617&amp;venue=Bolton Crown Court&amp;pocoone=REUxNCAzREw=&amp;pocotwo=BL1 1SU")</f>
        <v>0</v>
      </c>
      <c r="E312" t="s">
        <v>545</v>
      </c>
      <c r="F312">
        <f>HYPERLINK("https://www.google.com/maps/search/Blackhorse Street, Greater Manchester BL1 1SU")</f>
        <v>0</v>
      </c>
      <c r="G312">
        <f>HYPERLINK("tel:01204 392 881")</f>
        <v>0</v>
      </c>
    </row>
    <row r="313" spans="1:7">
      <c r="A313" t="s">
        <v>316</v>
      </c>
      <c r="B313">
        <f>HYPERLINK("tel:07928 939 391")</f>
        <v>0</v>
      </c>
      <c r="C313" t="s">
        <v>539</v>
      </c>
      <c r="D313">
        <f>HYPERLINK("https://www.policestationreps.com/reps.php?ID=2240&amp;venue=Bolton Crown Court&amp;pocoone=REUxNCAyTFM=&amp;pocotwo=BL1 1SU")</f>
        <v>0</v>
      </c>
      <c r="E313" t="s">
        <v>545</v>
      </c>
      <c r="F313">
        <f>HYPERLINK("https://www.google.com/maps/search/Blackhorse Street, Greater Manchester BL1 1SU")</f>
        <v>0</v>
      </c>
      <c r="G313">
        <f>HYPERLINK("tel:01204 392 881")</f>
        <v>0</v>
      </c>
    </row>
    <row r="314" spans="1:7">
      <c r="A314" t="s">
        <v>317</v>
      </c>
      <c r="B314">
        <f>HYPERLINK("tel:07774 637 500")</f>
        <v>0</v>
      </c>
      <c r="C314" t="s">
        <v>539</v>
      </c>
      <c r="D314">
        <f>HYPERLINK("https://www.policestationreps.com/reps.php?ID=2330&amp;venue=Bolton Crown Court&amp;pocoone=REUxNCAxUEc=&amp;pocotwo=BL1 1SU")</f>
        <v>0</v>
      </c>
      <c r="E314" t="s">
        <v>545</v>
      </c>
      <c r="F314">
        <f>HYPERLINK("https://www.google.com/maps/search/Blackhorse Street, Greater Manchester BL1 1SU")</f>
        <v>0</v>
      </c>
      <c r="G314">
        <f>HYPERLINK("tel:01204 392 881")</f>
        <v>0</v>
      </c>
    </row>
    <row r="315" spans="1:7">
      <c r="A315" t="s">
        <v>318</v>
      </c>
      <c r="B315">
        <f>HYPERLINK("tel:07583 931 588")</f>
        <v>0</v>
      </c>
      <c r="C315" t="s">
        <v>540</v>
      </c>
      <c r="D315">
        <f>HYPERLINK("https://www.policestationreps.com/reps.php?ID=1695&amp;venue=Bolton Crown Court&amp;pocoone=VEYzIDRIVw==&amp;pocotwo=BL1 1SU")</f>
        <v>0</v>
      </c>
      <c r="E315" t="s">
        <v>545</v>
      </c>
      <c r="F315">
        <f>HYPERLINK("https://www.google.com/maps/search/Blackhorse Street, Greater Manchester BL1 1SU")</f>
        <v>0</v>
      </c>
      <c r="G315">
        <f>HYPERLINK("tel:01204 392 881")</f>
        <v>0</v>
      </c>
    </row>
    <row r="316" spans="1:7">
      <c r="A316" t="s">
        <v>319</v>
      </c>
      <c r="B316">
        <f>HYPERLINK("tel:07843 308 802")</f>
        <v>0</v>
      </c>
      <c r="C316" t="s">
        <v>540</v>
      </c>
      <c r="D316">
        <f>HYPERLINK("https://www.policestationreps.com/reps.php?ID=2408&amp;venue=Bolton Crown Court&amp;pocoone=VEYzIDNCRA==&amp;pocotwo=BL1 1SU")</f>
        <v>0</v>
      </c>
      <c r="E316" t="s">
        <v>545</v>
      </c>
      <c r="F316">
        <f>HYPERLINK("https://www.google.com/maps/search/Blackhorse Street, Greater Manchester BL1 1SU")</f>
        <v>0</v>
      </c>
      <c r="G316">
        <f>HYPERLINK("tel:01204 392 881")</f>
        <v>0</v>
      </c>
    </row>
    <row r="317" spans="1:7">
      <c r="A317" t="s">
        <v>320</v>
      </c>
      <c r="B317">
        <f>HYPERLINK("tel:07514 601 493")</f>
        <v>0</v>
      </c>
      <c r="C317" t="s">
        <v>539</v>
      </c>
      <c r="D317">
        <f>HYPERLINK("https://www.policestationreps.com/reps.php?ID=1366&amp;venue=Bolton Crown Court&amp;pocoone=TkcxNSAwQkI=&amp;pocotwo=BL1 1SU")</f>
        <v>0</v>
      </c>
      <c r="E317" t="s">
        <v>545</v>
      </c>
      <c r="F317">
        <f>HYPERLINK("https://www.google.com/maps/search/Blackhorse Street, Greater Manchester BL1 1SU")</f>
        <v>0</v>
      </c>
      <c r="G317">
        <f>HYPERLINK("tel:01204 392 881")</f>
        <v>0</v>
      </c>
    </row>
    <row r="318" spans="1:7">
      <c r="A318" t="s">
        <v>321</v>
      </c>
      <c r="B318">
        <f>HYPERLINK("tel:07787 165 455")</f>
        <v>0</v>
      </c>
      <c r="C318" t="s">
        <v>539</v>
      </c>
      <c r="D318">
        <f>HYPERLINK("https://www.policestationreps.com/reps.php?ID=1022&amp;venue=Bolton Crown Court&amp;pocoone=V1MxMSA3WkI=&amp;pocotwo=BL1 1SU")</f>
        <v>0</v>
      </c>
      <c r="E318" t="s">
        <v>545</v>
      </c>
      <c r="F318">
        <f>HYPERLINK("https://www.google.com/maps/search/Blackhorse Street, Greater Manchester BL1 1SU")</f>
        <v>0</v>
      </c>
      <c r="G318">
        <f>HYPERLINK("tel:01204 392 881")</f>
        <v>0</v>
      </c>
    </row>
    <row r="319" spans="1:7">
      <c r="A319" t="s">
        <v>322</v>
      </c>
      <c r="B319">
        <f>HYPERLINK("tel:07930 831 345")</f>
        <v>0</v>
      </c>
      <c r="C319" t="s">
        <v>539</v>
      </c>
      <c r="D319">
        <f>HYPERLINK("https://www.policestationreps.com/reps.php?ID=1676&amp;venue=Bolton Crown Court&amp;pocoone=U1kyMiA2VUU=&amp;pocotwo=BL1 1SU")</f>
        <v>0</v>
      </c>
      <c r="E319" t="s">
        <v>545</v>
      </c>
      <c r="F319">
        <f>HYPERLINK("https://www.google.com/maps/search/Blackhorse Street, Greater Manchester BL1 1SU")</f>
        <v>0</v>
      </c>
      <c r="G319">
        <f>HYPERLINK("tel:01204 392 881")</f>
        <v>0</v>
      </c>
    </row>
    <row r="320" spans="1:7">
      <c r="A320" t="s">
        <v>323</v>
      </c>
      <c r="B320">
        <f>HYPERLINK("tel:07500 668 923")</f>
        <v>0</v>
      </c>
      <c r="C320" t="s">
        <v>539</v>
      </c>
      <c r="D320">
        <f>HYPERLINK("https://www.policestationreps.com/reps.php?ID=2491&amp;venue=Bolton Crown Court&amp;pocoone=V1MxMSA3R1g=&amp;pocotwo=BL1 1SU")</f>
        <v>0</v>
      </c>
      <c r="E320" t="s">
        <v>545</v>
      </c>
      <c r="F320">
        <f>HYPERLINK("https://www.google.com/maps/search/Blackhorse Street, Greater Manchester BL1 1SU")</f>
        <v>0</v>
      </c>
      <c r="G320">
        <f>HYPERLINK("tel:01204 392 881")</f>
        <v>0</v>
      </c>
    </row>
    <row r="321" spans="1:7">
      <c r="A321" t="s">
        <v>324</v>
      </c>
      <c r="B321">
        <f>HYPERLINK("tel:07929 346 688")</f>
        <v>0</v>
      </c>
      <c r="C321" t="s">
        <v>541</v>
      </c>
      <c r="D321">
        <f>HYPERLINK("https://www.policestationreps.com/reps.php?ID=1239&amp;venue=Bolton Crown Court&amp;pocoone=REU3MiAzUFc=&amp;pocotwo=BL1 1SU")</f>
        <v>0</v>
      </c>
      <c r="E321" t="s">
        <v>545</v>
      </c>
      <c r="F321">
        <f>HYPERLINK("https://www.google.com/maps/search/Blackhorse Street, Greater Manchester BL1 1SU")</f>
        <v>0</v>
      </c>
      <c r="G321">
        <f>HYPERLINK("tel:01204 392 881")</f>
        <v>0</v>
      </c>
    </row>
    <row r="322" spans="1:7">
      <c r="A322" t="s">
        <v>325</v>
      </c>
      <c r="B322">
        <f>HYPERLINK("tel:07460 122 075")</f>
        <v>0</v>
      </c>
      <c r="C322" t="s">
        <v>539</v>
      </c>
      <c r="D322">
        <f>HYPERLINK("https://www.policestationreps.com/reps.php?ID=2186&amp;venue=Bolton Crown Court&amp;pocoone=Tkc2IDdBWQ==&amp;pocotwo=BL1 1SU")</f>
        <v>0</v>
      </c>
      <c r="E322" t="s">
        <v>545</v>
      </c>
      <c r="F322">
        <f>HYPERLINK("https://www.google.com/maps/search/Blackhorse Street, Greater Manchester BL1 1SU")</f>
        <v>0</v>
      </c>
      <c r="G322">
        <f>HYPERLINK("tel:01204 392 881")</f>
        <v>0</v>
      </c>
    </row>
    <row r="323" spans="1:7">
      <c r="A323" t="s">
        <v>326</v>
      </c>
      <c r="B323">
        <f>HYPERLINK("tel:07535 883 224")</f>
        <v>0</v>
      </c>
      <c r="C323" t="s">
        <v>539</v>
      </c>
      <c r="D323">
        <f>HYPERLINK("https://www.policestationreps.com/reps.php?ID=2170&amp;venue=Bolton Crown Court&amp;pocoone=VEY3IDVCSA==&amp;pocotwo=BL1 1SU")</f>
        <v>0</v>
      </c>
      <c r="E323" t="s">
        <v>545</v>
      </c>
      <c r="F323">
        <f>HYPERLINK("https://www.google.com/maps/search/Blackhorse Street, Greater Manchester BL1 1SU")</f>
        <v>0</v>
      </c>
      <c r="G323">
        <f>HYPERLINK("tel:01204 392 881")</f>
        <v>0</v>
      </c>
    </row>
    <row r="324" spans="1:7">
      <c r="A324" t="s">
        <v>327</v>
      </c>
      <c r="B324">
        <f>HYPERLINK("tel:07376 493 185")</f>
        <v>0</v>
      </c>
      <c r="C324" t="s">
        <v>539</v>
      </c>
      <c r="D324">
        <f>HYPERLINK("https://www.policestationreps.com/reps.php?ID=2751&amp;venue=Bolton Crown Court&amp;pocoone=V1M3IDRUTg==&amp;pocotwo=BL1 1SU")</f>
        <v>0</v>
      </c>
      <c r="E324" t="s">
        <v>545</v>
      </c>
      <c r="F324">
        <f>HYPERLINK("https://www.google.com/maps/search/Blackhorse Street, Greater Manchester BL1 1SU")</f>
        <v>0</v>
      </c>
      <c r="G324">
        <f>HYPERLINK("tel:01204 392 881")</f>
        <v>0</v>
      </c>
    </row>
    <row r="325" spans="1:7">
      <c r="A325" t="s">
        <v>328</v>
      </c>
      <c r="B325">
        <f>HYPERLINK("tel:07508 908 294")</f>
        <v>0</v>
      </c>
      <c r="C325" t="s">
        <v>539</v>
      </c>
      <c r="D325">
        <f>HYPERLINK("https://www.policestationreps.com/reps.php?ID=2388&amp;venue=Bolton Crown Court&amp;pocoone=Tkc4IDZMQg==&amp;pocotwo=BL1 1SU")</f>
        <v>0</v>
      </c>
      <c r="E325" t="s">
        <v>545</v>
      </c>
      <c r="F325">
        <f>HYPERLINK("https://www.google.com/maps/search/Blackhorse Street, Greater Manchester BL1 1SU")</f>
        <v>0</v>
      </c>
      <c r="G325">
        <f>HYPERLINK("tel:01204 392 881")</f>
        <v>0</v>
      </c>
    </row>
    <row r="326" spans="1:7">
      <c r="A326" t="s">
        <v>329</v>
      </c>
      <c r="B326">
        <f>HYPERLINK("tel:07502 961 083")</f>
        <v>0</v>
      </c>
      <c r="C326" t="s">
        <v>540</v>
      </c>
      <c r="D326">
        <f>HYPERLINK("https://www.policestationreps.com/reps.php?ID=2824&amp;venue=Bolton Crown Court&amp;pocoone=V1Y5IDVOWg==&amp;pocotwo=BL1 1SU")</f>
        <v>0</v>
      </c>
      <c r="E326" t="s">
        <v>545</v>
      </c>
      <c r="F326">
        <f>HYPERLINK("https://www.google.com/maps/search/Blackhorse Street, Greater Manchester BL1 1SU")</f>
        <v>0</v>
      </c>
      <c r="G326">
        <f>HYPERLINK("tel:01204 392 881")</f>
        <v>0</v>
      </c>
    </row>
    <row r="327" spans="1:7">
      <c r="A327" t="s">
        <v>330</v>
      </c>
      <c r="B327">
        <f>HYPERLINK("tel:07895 661 725")</f>
        <v>0</v>
      </c>
      <c r="C327" t="s">
        <v>543</v>
      </c>
      <c r="D327">
        <f>HYPERLINK("https://www.policestationreps.com/reps.php?ID=1147&amp;venue=Bolton Crown Court&amp;pocoone=Tkc4IDJTQg==&amp;pocotwo=BL1 1SU")</f>
        <v>0</v>
      </c>
      <c r="E327" t="s">
        <v>545</v>
      </c>
      <c r="F327">
        <f>HYPERLINK("https://www.google.com/maps/search/Blackhorse Street, Greater Manchester BL1 1SU")</f>
        <v>0</v>
      </c>
      <c r="G327">
        <f>HYPERLINK("tel:01204 392 881")</f>
        <v>0</v>
      </c>
    </row>
    <row r="328" spans="1:7">
      <c r="A328" t="s">
        <v>331</v>
      </c>
      <c r="B328">
        <f>HYPERLINK("tel:07943 610 194")</f>
        <v>0</v>
      </c>
      <c r="C328" t="s">
        <v>540</v>
      </c>
      <c r="D328">
        <f>HYPERLINK("https://www.policestationreps.com/reps.php?ID=2596&amp;venue=Bolton Crown Court&amp;pocoone=TkczIDVRRQ==&amp;pocotwo=BL1 1SU")</f>
        <v>0</v>
      </c>
      <c r="E328" t="s">
        <v>545</v>
      </c>
      <c r="F328">
        <f>HYPERLINK("https://www.google.com/maps/search/Blackhorse Street, Greater Manchester BL1 1SU")</f>
        <v>0</v>
      </c>
      <c r="G328">
        <f>HYPERLINK("tel:01204 392 881")</f>
        <v>0</v>
      </c>
    </row>
    <row r="329" spans="1:7">
      <c r="A329" t="s">
        <v>332</v>
      </c>
      <c r="B329">
        <f>HYPERLINK("tel:07583 705 085")</f>
        <v>0</v>
      </c>
      <c r="C329" t="s">
        <v>539</v>
      </c>
      <c r="D329">
        <f>HYPERLINK("https://www.policestationreps.com/reps.php?ID=2099&amp;venue=Bolton Crown Court&amp;pocoone=V1YxMSAyQVU=&amp;pocotwo=BL1 1SU")</f>
        <v>0</v>
      </c>
      <c r="E329" t="s">
        <v>545</v>
      </c>
      <c r="F329">
        <f>HYPERLINK("https://www.google.com/maps/search/Blackhorse Street, Greater Manchester BL1 1SU")</f>
        <v>0</v>
      </c>
      <c r="G329">
        <f>HYPERLINK("tel:01204 392 881")</f>
        <v>0</v>
      </c>
    </row>
    <row r="330" spans="1:7">
      <c r="A330" t="s">
        <v>333</v>
      </c>
      <c r="B330">
        <f>HYPERLINK("tel:07432 038 020")</f>
        <v>0</v>
      </c>
      <c r="C330" t="s">
        <v>539</v>
      </c>
      <c r="D330">
        <f>HYPERLINK("https://www.policestationreps.com/reps.php?ID=2517&amp;venue=Bolton Crown Court&amp;pocoone=Tmcx&amp;pocotwo=BL1 1SU")</f>
        <v>0</v>
      </c>
      <c r="E330" t="s">
        <v>545</v>
      </c>
      <c r="F330">
        <f>HYPERLINK("https://www.google.com/maps/search/Blackhorse Street, Greater Manchester BL1 1SU")</f>
        <v>0</v>
      </c>
      <c r="G330">
        <f>HYPERLINK("tel:01204 392 881")</f>
        <v>0</v>
      </c>
    </row>
    <row r="331" spans="1:7">
      <c r="A331" t="s">
        <v>334</v>
      </c>
      <c r="B331">
        <f>HYPERLINK("tel:03337 721 993")</f>
        <v>0</v>
      </c>
      <c r="C331" t="s">
        <v>539</v>
      </c>
      <c r="D331">
        <f>HYPERLINK("https://www.policestationreps.com/reps.php?ID=2507&amp;venue=Bolton Crown Court&amp;pocoone=TkcxIDZEUQ==&amp;pocotwo=BL1 1SU")</f>
        <v>0</v>
      </c>
      <c r="E331" t="s">
        <v>545</v>
      </c>
      <c r="F331">
        <f>HYPERLINK("https://www.google.com/maps/search/Blackhorse Street, Greater Manchester BL1 1SU")</f>
        <v>0</v>
      </c>
      <c r="G331">
        <f>HYPERLINK("tel:01204 392 881")</f>
        <v>0</v>
      </c>
    </row>
    <row r="332" spans="1:7">
      <c r="A332" t="s">
        <v>335</v>
      </c>
      <c r="B332">
        <f>HYPERLINK("tel:07957 177 173")</f>
        <v>0</v>
      </c>
      <c r="C332" t="s">
        <v>539</v>
      </c>
      <c r="D332">
        <f>HYPERLINK("https://www.policestationreps.com/reps.php?ID=1505&amp;venue=Bolton Crown Court&amp;pocoone=V1Y2IDdQQQ==&amp;pocotwo=BL1 1SU")</f>
        <v>0</v>
      </c>
      <c r="E332" t="s">
        <v>545</v>
      </c>
      <c r="F332">
        <f>HYPERLINK("https://www.google.com/maps/search/Blackhorse Street, Greater Manchester BL1 1SU")</f>
        <v>0</v>
      </c>
      <c r="G332">
        <f>HYPERLINK("tel:01204 392 881")</f>
        <v>0</v>
      </c>
    </row>
    <row r="333" spans="1:7">
      <c r="A333" t="s">
        <v>336</v>
      </c>
      <c r="B333">
        <f>HYPERLINK("tel:07487 548 733")</f>
        <v>0</v>
      </c>
      <c r="C333" t="s">
        <v>539</v>
      </c>
      <c r="D333">
        <f>HYPERLINK("https://www.policestationreps.com/reps.php?ID=1812&amp;venue=Bolton Crown Court&amp;pocoone=V1MzIDNMWQ==&amp;pocotwo=BL1 1SU")</f>
        <v>0</v>
      </c>
      <c r="E333" t="s">
        <v>545</v>
      </c>
      <c r="F333">
        <f>HYPERLINK("https://www.google.com/maps/search/Blackhorse Street, Greater Manchester BL1 1SU")</f>
        <v>0</v>
      </c>
      <c r="G333">
        <f>HYPERLINK("tel:01204 392 881")</f>
        <v>0</v>
      </c>
    </row>
    <row r="334" spans="1:7">
      <c r="A334" t="s">
        <v>337</v>
      </c>
      <c r="B334">
        <f>HYPERLINK("tel:07764 940 368")</f>
        <v>0</v>
      </c>
      <c r="C334" t="s">
        <v>539</v>
      </c>
      <c r="D334">
        <f>HYPERLINK("https://www.policestationreps.com/reps.php?ID=188&amp;venue=Bolton Crown Court&amp;pocoone=REUxMiA3QUU=&amp;pocotwo=BL1 1SU")</f>
        <v>0</v>
      </c>
      <c r="E334" t="s">
        <v>545</v>
      </c>
      <c r="F334">
        <f>HYPERLINK("https://www.google.com/maps/search/Blackhorse Street, Greater Manchester BL1 1SU")</f>
        <v>0</v>
      </c>
      <c r="G334">
        <f>HYPERLINK("tel:01204 392 881")</f>
        <v>0</v>
      </c>
    </row>
    <row r="335" spans="1:7">
      <c r="A335" t="s">
        <v>338</v>
      </c>
      <c r="B335">
        <f>HYPERLINK("tel:07581 060 710")</f>
        <v>0</v>
      </c>
      <c r="C335" t="s">
        <v>539</v>
      </c>
      <c r="D335">
        <f>HYPERLINK("https://www.policestationreps.com/reps.php?ID=1035&amp;venue=Bolton Crown Court&amp;pocoone=REUxMiA2UEw=&amp;pocotwo=BL1 1SU")</f>
        <v>0</v>
      </c>
      <c r="E335" t="s">
        <v>545</v>
      </c>
      <c r="F335">
        <f>HYPERLINK("https://www.google.com/maps/search/Blackhorse Street, Greater Manchester BL1 1SU")</f>
        <v>0</v>
      </c>
      <c r="G335">
        <f>HYPERLINK("tel:01204 392 881")</f>
        <v>0</v>
      </c>
    </row>
    <row r="336" spans="1:7">
      <c r="A336" t="s">
        <v>339</v>
      </c>
      <c r="B336">
        <f>HYPERLINK("tel:07946 291 144")</f>
        <v>0</v>
      </c>
      <c r="C336" t="s">
        <v>541</v>
      </c>
      <c r="D336">
        <f>HYPERLINK("https://www.policestationreps.com/reps.php?ID=543&amp;venue=Bolton Crown Court&amp;pocoone=V1YxMyAyQkc=&amp;pocotwo=BL1 1SU")</f>
        <v>0</v>
      </c>
      <c r="E336" t="s">
        <v>545</v>
      </c>
      <c r="F336">
        <f>HYPERLINK("https://www.google.com/maps/search/Blackhorse Street, Greater Manchester BL1 1SU")</f>
        <v>0</v>
      </c>
      <c r="G336">
        <f>HYPERLINK("tel:01204 392 881")</f>
        <v>0</v>
      </c>
    </row>
    <row r="337" spans="1:7">
      <c r="A337" t="s">
        <v>340</v>
      </c>
      <c r="B337">
        <f>HYPERLINK("tel:07446 157 255")</f>
        <v>0</v>
      </c>
      <c r="C337" t="s">
        <v>541</v>
      </c>
      <c r="D337">
        <f>HYPERLINK("https://www.policestationreps.com/reps.php?ID=1466&amp;venue=Bolton Crown Court&amp;pocoone=V1YxIDNCSg==&amp;pocotwo=BL1 1SU")</f>
        <v>0</v>
      </c>
      <c r="E337" t="s">
        <v>545</v>
      </c>
      <c r="F337">
        <f>HYPERLINK("https://www.google.com/maps/search/Blackhorse Street, Greater Manchester BL1 1SU")</f>
        <v>0</v>
      </c>
      <c r="G337">
        <f>HYPERLINK("tel:01204 392 881")</f>
        <v>0</v>
      </c>
    </row>
    <row r="338" spans="1:7">
      <c r="A338" t="s">
        <v>341</v>
      </c>
      <c r="B338">
        <f>HYPERLINK("tel:07800 632 917")</f>
        <v>0</v>
      </c>
      <c r="C338" t="s">
        <v>541</v>
      </c>
      <c r="D338">
        <f>HYPERLINK("https://www.policestationreps.com/reps.php?ID=1167&amp;venue=Bolton Crown Court&amp;pocoone=V1YxMyAySlI=&amp;pocotwo=BL1 1SU")</f>
        <v>0</v>
      </c>
      <c r="E338" t="s">
        <v>545</v>
      </c>
      <c r="F338">
        <f>HYPERLINK("https://www.google.com/maps/search/Blackhorse Street, Greater Manchester BL1 1SU")</f>
        <v>0</v>
      </c>
      <c r="G338">
        <f>HYPERLINK("tel:01204 392 881")</f>
        <v>0</v>
      </c>
    </row>
    <row r="339" spans="1:7">
      <c r="A339" t="s">
        <v>342</v>
      </c>
      <c r="B339">
        <f>HYPERLINK("tel:07957 771 362")</f>
        <v>0</v>
      </c>
      <c r="C339" t="s">
        <v>539</v>
      </c>
      <c r="D339">
        <f>HYPERLINK("https://www.policestationreps.com/reps.php?ID=2768&amp;venue=Bolton Crown Court&amp;pocoone=TkcyIDZRRQ==&amp;pocotwo=BL1 1SU")</f>
        <v>0</v>
      </c>
      <c r="E339" t="s">
        <v>545</v>
      </c>
      <c r="F339">
        <f>HYPERLINK("https://www.google.com/maps/search/Blackhorse Street, Greater Manchester BL1 1SU")</f>
        <v>0</v>
      </c>
      <c r="G339">
        <f>HYPERLINK("tel:01204 392 881")</f>
        <v>0</v>
      </c>
    </row>
    <row r="340" spans="1:7">
      <c r="A340" t="s">
        <v>343</v>
      </c>
      <c r="B340">
        <f>HYPERLINK("tel:07903 092 983")</f>
        <v>0</v>
      </c>
      <c r="C340" t="s">
        <v>539</v>
      </c>
      <c r="D340">
        <f>HYPERLINK("https://www.policestationreps.com/reps.php?ID=676&amp;venue=Bolton Crown Court&amp;pocoone=V1YxIDJSTg==&amp;pocotwo=BL1 1SU")</f>
        <v>0</v>
      </c>
      <c r="E340" t="s">
        <v>545</v>
      </c>
      <c r="F340">
        <f>HYPERLINK("https://www.google.com/maps/search/Blackhorse Street, Greater Manchester BL1 1SU")</f>
        <v>0</v>
      </c>
      <c r="G340">
        <f>HYPERLINK("tel:01204 392 881")</f>
        <v>0</v>
      </c>
    </row>
    <row r="341" spans="1:7">
      <c r="A341" t="s">
        <v>344</v>
      </c>
      <c r="B341">
        <f>HYPERLINK("tel:07868 754 094")</f>
        <v>0</v>
      </c>
      <c r="C341" t="s">
        <v>540</v>
      </c>
      <c r="D341">
        <f>HYPERLINK("https://www.policestationreps.com/reps.php?ID=1029&amp;venue=Bolton Crown Court&amp;pocoone=V1M5IDlBRQ==&amp;pocotwo=BL1 1SU")</f>
        <v>0</v>
      </c>
      <c r="E341" t="s">
        <v>545</v>
      </c>
      <c r="F341">
        <f>HYPERLINK("https://www.google.com/maps/search/Blackhorse Street, Greater Manchester BL1 1SU")</f>
        <v>0</v>
      </c>
      <c r="G341">
        <f>HYPERLINK("tel:01204 392 881")</f>
        <v>0</v>
      </c>
    </row>
    <row r="342" spans="1:7">
      <c r="A342" t="s">
        <v>345</v>
      </c>
      <c r="B342">
        <f>HYPERLINK("tel:07860 311 969")</f>
        <v>0</v>
      </c>
      <c r="C342" t="s">
        <v>540</v>
      </c>
      <c r="D342">
        <f>HYPERLINK("https://www.policestationreps.com/reps.php?ID=2878&amp;venue=Bolton Crown Court&amp;pocoone=TkcyIDdHSg==&amp;pocotwo=BL1 1SU")</f>
        <v>0</v>
      </c>
      <c r="E342" t="s">
        <v>545</v>
      </c>
      <c r="F342">
        <f>HYPERLINK("https://www.google.com/maps/search/Blackhorse Street, Greater Manchester BL1 1SU")</f>
        <v>0</v>
      </c>
      <c r="G342">
        <f>HYPERLINK("tel:01204 392 881")</f>
        <v>0</v>
      </c>
    </row>
    <row r="343" spans="1:7">
      <c r="A343" t="s">
        <v>346</v>
      </c>
      <c r="B343">
        <f>HYPERLINK("tel:07707 798 555")</f>
        <v>0</v>
      </c>
      <c r="C343" t="s">
        <v>540</v>
      </c>
      <c r="D343">
        <f>HYPERLINK("https://www.policestationreps.com/reps.php?ID=2028&amp;venue=Bolton Crown Court&amp;pocoone=TkcyIDdERQ==&amp;pocotwo=BL1 1SU")</f>
        <v>0</v>
      </c>
      <c r="E343" t="s">
        <v>545</v>
      </c>
      <c r="F343">
        <f>HYPERLINK("https://www.google.com/maps/search/Blackhorse Street, Greater Manchester BL1 1SU")</f>
        <v>0</v>
      </c>
      <c r="G343">
        <f>HYPERLINK("tel:01204 392 881")</f>
        <v>0</v>
      </c>
    </row>
    <row r="344" spans="1:7">
      <c r="A344" t="s">
        <v>347</v>
      </c>
      <c r="B344">
        <f>HYPERLINK("tel:07867 974 096")</f>
        <v>0</v>
      </c>
      <c r="C344" t="s">
        <v>539</v>
      </c>
      <c r="D344">
        <f>HYPERLINK("https://www.policestationreps.com/reps.php?ID=1007&amp;venue=Bolton Crown Court&amp;pocoone=V1Y0IDRBQQ==&amp;pocotwo=BL1 1SU")</f>
        <v>0</v>
      </c>
      <c r="E344" t="s">
        <v>545</v>
      </c>
      <c r="F344">
        <f>HYPERLINK("https://www.google.com/maps/search/Blackhorse Street, Greater Manchester BL1 1SU")</f>
        <v>0</v>
      </c>
      <c r="G344">
        <f>HYPERLINK("tel:01204 392 881")</f>
        <v>0</v>
      </c>
    </row>
    <row r="345" spans="1:7">
      <c r="A345" t="s">
        <v>348</v>
      </c>
      <c r="B345">
        <f>HYPERLINK("tel:07984 444 244")</f>
        <v>0</v>
      </c>
      <c r="C345" t="s">
        <v>539</v>
      </c>
      <c r="D345">
        <f>HYPERLINK("https://www.policestationreps.com/reps.php?ID=2602&amp;venue=Bolton Crown Court&amp;pocoone=V1YyIDNEUg==&amp;pocotwo=BL1 1SU")</f>
        <v>0</v>
      </c>
      <c r="E345" t="s">
        <v>545</v>
      </c>
      <c r="F345">
        <f>HYPERLINK("https://www.google.com/maps/search/Blackhorse Street, Greater Manchester BL1 1SU")</f>
        <v>0</v>
      </c>
      <c r="G345">
        <f>HYPERLINK("tel:01204 392 881")</f>
        <v>0</v>
      </c>
    </row>
    <row r="346" spans="1:7">
      <c r="A346" t="s">
        <v>349</v>
      </c>
      <c r="B346">
        <f>HYPERLINK("tel:07887 247 409")</f>
        <v>0</v>
      </c>
      <c r="C346" t="s">
        <v>539</v>
      </c>
      <c r="D346">
        <f>HYPERLINK("https://www.policestationreps.com/reps.php?ID=1294&amp;venue=Bolton Crown Court&amp;pocoone=V1Y0IDRBTg==&amp;pocotwo=BL1 1SU")</f>
        <v>0</v>
      </c>
      <c r="E346" t="s">
        <v>545</v>
      </c>
      <c r="F346">
        <f>HYPERLINK("https://www.google.com/maps/search/Blackhorse Street, Greater Manchester BL1 1SU")</f>
        <v>0</v>
      </c>
      <c r="G346">
        <f>HYPERLINK("tel:01204 392 881")</f>
        <v>0</v>
      </c>
    </row>
    <row r="347" spans="1:7">
      <c r="A347" t="s">
        <v>350</v>
      </c>
      <c r="B347">
        <f>HYPERLINK("tel:07811 408 557")</f>
        <v>0</v>
      </c>
      <c r="C347" t="s">
        <v>541</v>
      </c>
      <c r="D347">
        <f>HYPERLINK("https://www.policestationreps.com/reps.php?ID=196&amp;venue=Bolton Crown Court&amp;pocoone=Qjc5IDdKTg==&amp;pocotwo=BL1 1SU")</f>
        <v>0</v>
      </c>
      <c r="E347" t="s">
        <v>545</v>
      </c>
      <c r="F347">
        <f>HYPERLINK("https://www.google.com/maps/search/Blackhorse Street, Greater Manchester BL1 1SU")</f>
        <v>0</v>
      </c>
      <c r="G347">
        <f>HYPERLINK("tel:01204 392 881")</f>
        <v>0</v>
      </c>
    </row>
    <row r="348" spans="1:7">
      <c r="A348" t="s">
        <v>351</v>
      </c>
      <c r="B348">
        <f>HYPERLINK("tel:07946 627 440")</f>
        <v>0</v>
      </c>
      <c r="C348" t="s">
        <v>539</v>
      </c>
      <c r="D348">
        <f>HYPERLINK("https://www.policestationreps.com/reps.php?ID=1609&amp;venue=Bolton Crown Court&amp;pocoone=Qjc5IDhVQg==&amp;pocotwo=BL1 1SU")</f>
        <v>0</v>
      </c>
      <c r="E348" t="s">
        <v>545</v>
      </c>
      <c r="F348">
        <f>HYPERLINK("https://www.google.com/maps/search/Blackhorse Street, Greater Manchester BL1 1SU")</f>
        <v>0</v>
      </c>
      <c r="G348">
        <f>HYPERLINK("tel:01204 392 881")</f>
        <v>0</v>
      </c>
    </row>
    <row r="349" spans="1:7">
      <c r="A349" t="s">
        <v>352</v>
      </c>
      <c r="B349">
        <f>HYPERLINK("tel:08445 002 898")</f>
        <v>0</v>
      </c>
      <c r="C349" t="s">
        <v>544</v>
      </c>
      <c r="D349">
        <f>HYPERLINK("https://www.policestationreps.com/reps.php?ID=1280&amp;venue=Bolton Crown Court&amp;pocoone=V1Y0IDRBQQ==&amp;pocotwo=BL1 1SU")</f>
        <v>0</v>
      </c>
      <c r="E349" t="s">
        <v>545</v>
      </c>
      <c r="F349">
        <f>HYPERLINK("https://www.google.com/maps/search/Blackhorse Street, Greater Manchester BL1 1SU")</f>
        <v>0</v>
      </c>
      <c r="G349">
        <f>HYPERLINK("tel:01204 392 881")</f>
        <v>0</v>
      </c>
    </row>
    <row r="350" spans="1:7">
      <c r="A350" t="s">
        <v>353</v>
      </c>
      <c r="B350">
        <f>HYPERLINK("tel:07958 084 448")</f>
        <v>0</v>
      </c>
      <c r="C350" t="s">
        <v>539</v>
      </c>
      <c r="D350">
        <f>HYPERLINK("https://www.policestationreps.com/reps.php?ID=2619&amp;venue=Bolton Crown Court&amp;pocoone=V1YxNCA4WEE=&amp;pocotwo=BL1 1SU")</f>
        <v>0</v>
      </c>
      <c r="E350" t="s">
        <v>545</v>
      </c>
      <c r="F350">
        <f>HYPERLINK("https://www.google.com/maps/search/Blackhorse Street, Greater Manchester BL1 1SU")</f>
        <v>0</v>
      </c>
      <c r="G350">
        <f>HYPERLINK("tel:01204 392 881")</f>
        <v>0</v>
      </c>
    </row>
    <row r="351" spans="1:7">
      <c r="A351" t="s">
        <v>354</v>
      </c>
      <c r="B351">
        <f>HYPERLINK("tel:07961 002 003")</f>
        <v>0</v>
      </c>
      <c r="C351" t="s">
        <v>540</v>
      </c>
      <c r="D351">
        <f>HYPERLINK("https://www.policestationreps.com/reps.php?ID=1052&amp;venue=Bolton Crown Court&amp;pocoone=V1MxIDJBWQ==&amp;pocotwo=BL1 1SU")</f>
        <v>0</v>
      </c>
      <c r="E351" t="s">
        <v>545</v>
      </c>
      <c r="F351">
        <f>HYPERLINK("https://www.google.com/maps/search/Blackhorse Street, Greater Manchester BL1 1SU")</f>
        <v>0</v>
      </c>
      <c r="G351">
        <f>HYPERLINK("tel:01204 392 881")</f>
        <v>0</v>
      </c>
    </row>
    <row r="352" spans="1:7">
      <c r="A352" t="s">
        <v>355</v>
      </c>
      <c r="B352">
        <f>HYPERLINK("tel:07966 487 621")</f>
        <v>0</v>
      </c>
      <c r="C352" t="s">
        <v>540</v>
      </c>
      <c r="D352">
        <f>HYPERLINK("https://www.policestationreps.com/reps.php?ID=456&amp;venue=Bolton Crown Court&amp;pocoone=V1MxIDNCQg==&amp;pocotwo=BL1 1SU")</f>
        <v>0</v>
      </c>
      <c r="E352" t="s">
        <v>545</v>
      </c>
      <c r="F352">
        <f>HYPERLINK("https://www.google.com/maps/search/Blackhorse Street, Greater Manchester BL1 1SU")</f>
        <v>0</v>
      </c>
      <c r="G352">
        <f>HYPERLINK("tel:01204 392 881")</f>
        <v>0</v>
      </c>
    </row>
    <row r="353" spans="1:7">
      <c r="A353" t="s">
        <v>356</v>
      </c>
      <c r="B353">
        <f>HYPERLINK("tel:07824 495 604")</f>
        <v>0</v>
      </c>
      <c r="C353" t="s">
        <v>539</v>
      </c>
      <c r="D353">
        <f>HYPERLINK("https://www.policestationreps.com/reps.php?ID=1709&amp;venue=Bolton Crown Court&amp;pocoone=V1YxNCA4WVQ=&amp;pocotwo=BL1 1SU")</f>
        <v>0</v>
      </c>
      <c r="E353" t="s">
        <v>545</v>
      </c>
      <c r="F353">
        <f>HYPERLINK("https://www.google.com/maps/search/Blackhorse Street, Greater Manchester BL1 1SU")</f>
        <v>0</v>
      </c>
      <c r="G353">
        <f>HYPERLINK("tel:01204 392 881")</f>
        <v>0</v>
      </c>
    </row>
    <row r="354" spans="1:7">
      <c r="A354" t="s">
        <v>357</v>
      </c>
      <c r="B354">
        <f>HYPERLINK("tel:07961 406 123")</f>
        <v>0</v>
      </c>
      <c r="C354" t="s">
        <v>539</v>
      </c>
      <c r="D354">
        <f>HYPERLINK("https://www.policestationreps.com/reps.php?ID=2372&amp;venue=Bolton Crown Court&amp;pocoone=Qjc0IDNCRA==&amp;pocotwo=BL1 1SU")</f>
        <v>0</v>
      </c>
      <c r="E354" t="s">
        <v>545</v>
      </c>
      <c r="F354">
        <f>HYPERLINK("https://www.google.com/maps/search/Blackhorse Street, Greater Manchester BL1 1SU")</f>
        <v>0</v>
      </c>
      <c r="G354">
        <f>HYPERLINK("tel:01204 392 881")</f>
        <v>0</v>
      </c>
    </row>
    <row r="355" spans="1:7">
      <c r="A355" t="s">
        <v>358</v>
      </c>
      <c r="B355">
        <f>HYPERLINK("tel:07867 384 313")</f>
        <v>0</v>
      </c>
      <c r="C355" t="s">
        <v>539</v>
      </c>
      <c r="D355">
        <f>HYPERLINK("https://www.policestationreps.com/reps.php?ID=2128&amp;venue=Bolton Crown Court&amp;pocoone=V1Y1IDBMSA==&amp;pocotwo=BL1 1SU")</f>
        <v>0</v>
      </c>
      <c r="E355" t="s">
        <v>545</v>
      </c>
      <c r="F355">
        <f>HYPERLINK("https://www.google.com/maps/search/Blackhorse Street, Greater Manchester BL1 1SU")</f>
        <v>0</v>
      </c>
      <c r="G355">
        <f>HYPERLINK("tel:01204 392 881")</f>
        <v>0</v>
      </c>
    </row>
    <row r="356" spans="1:7">
      <c r="A356" t="s">
        <v>359</v>
      </c>
      <c r="B356">
        <f>HYPERLINK("tel:07850 195 409")</f>
        <v>0</v>
      </c>
      <c r="C356" t="s">
        <v>539</v>
      </c>
      <c r="D356">
        <f>HYPERLINK("https://www.policestationreps.com/reps.php?ID=760&amp;venue=Bolton Crown Court&amp;pocoone=V1M1IDNCVA==&amp;pocotwo=BL1 1SU")</f>
        <v>0</v>
      </c>
      <c r="E356" t="s">
        <v>545</v>
      </c>
      <c r="F356">
        <f>HYPERLINK("https://www.google.com/maps/search/Blackhorse Street, Greater Manchester BL1 1SU")</f>
        <v>0</v>
      </c>
      <c r="G356">
        <f>HYPERLINK("tel:01204 392 881")</f>
        <v>0</v>
      </c>
    </row>
    <row r="357" spans="1:7">
      <c r="A357" t="s">
        <v>360</v>
      </c>
      <c r="B357">
        <f>HYPERLINK("tel:07967 383 814")</f>
        <v>0</v>
      </c>
      <c r="C357" t="s">
        <v>539</v>
      </c>
      <c r="D357">
        <f>HYPERLINK("https://www.policestationreps.com/reps.php?ID=2797&amp;venue=Bolton Crown Court&amp;pocoone=V1M1IDNRVw==&amp;pocotwo=BL1 1SU")</f>
        <v>0</v>
      </c>
      <c r="E357" t="s">
        <v>545</v>
      </c>
      <c r="F357">
        <f>HYPERLINK("https://www.google.com/maps/search/Blackhorse Street, Greater Manchester BL1 1SU")</f>
        <v>0</v>
      </c>
      <c r="G357">
        <f>HYPERLINK("tel:01204 392 881")</f>
        <v>0</v>
      </c>
    </row>
    <row r="358" spans="1:7">
      <c r="A358" t="s">
        <v>361</v>
      </c>
      <c r="B358">
        <f>HYPERLINK("tel:07502 224 714")</f>
        <v>0</v>
      </c>
      <c r="C358" t="s">
        <v>539</v>
      </c>
      <c r="D358">
        <f>HYPERLINK("https://www.policestationreps.com/reps.php?ID=2703&amp;venue=Bolton Crown Court&amp;pocoone=V1M1IDROTg==&amp;pocotwo=BL1 1SU")</f>
        <v>0</v>
      </c>
      <c r="E358" t="s">
        <v>545</v>
      </c>
      <c r="F358">
        <f>HYPERLINK("https://www.google.com/maps/search/Blackhorse Street, Greater Manchester BL1 1SU")</f>
        <v>0</v>
      </c>
      <c r="G358">
        <f>HYPERLINK("tel:01204 392 881")</f>
        <v>0</v>
      </c>
    </row>
    <row r="359" spans="1:7">
      <c r="A359" t="s">
        <v>362</v>
      </c>
      <c r="B359">
        <f>HYPERLINK("tel:07447 910 079")</f>
        <v>0</v>
      </c>
      <c r="C359" t="s">
        <v>539</v>
      </c>
      <c r="D359">
        <f>HYPERLINK("https://www.policestationreps.com/reps.php?ID=2405&amp;venue=Bolton Crown Court&amp;pocoone=QjQzIDZQTA==&amp;pocotwo=BL1 1SU")</f>
        <v>0</v>
      </c>
      <c r="E359" t="s">
        <v>545</v>
      </c>
      <c r="F359">
        <f>HYPERLINK("https://www.google.com/maps/search/Blackhorse Street, Greater Manchester BL1 1SU")</f>
        <v>0</v>
      </c>
      <c r="G359">
        <f>HYPERLINK("tel:01204 392 881")</f>
        <v>0</v>
      </c>
    </row>
    <row r="360" spans="1:7">
      <c r="A360" t="s">
        <v>363</v>
      </c>
      <c r="B360">
        <f>HYPERLINK("tel:07903 910 731")</f>
        <v>0</v>
      </c>
      <c r="C360" t="s">
        <v>539</v>
      </c>
      <c r="D360">
        <f>HYPERLINK("https://www.policestationreps.com/reps.php?ID=710&amp;venue=Bolton Crown Court&amp;pocoone=QjcxIDFFQg==&amp;pocotwo=BL1 1SU")</f>
        <v>0</v>
      </c>
      <c r="E360" t="s">
        <v>545</v>
      </c>
      <c r="F360">
        <f>HYPERLINK("https://www.google.com/maps/search/Blackhorse Street, Greater Manchester BL1 1SU")</f>
        <v>0</v>
      </c>
      <c r="G360">
        <f>HYPERLINK("tel:01204 392 881")</f>
        <v>0</v>
      </c>
    </row>
    <row r="361" spans="1:7">
      <c r="A361" t="s">
        <v>364</v>
      </c>
      <c r="B361">
        <f>HYPERLINK("tel:07792 562 149")</f>
        <v>0</v>
      </c>
      <c r="C361" t="s">
        <v>539</v>
      </c>
      <c r="D361">
        <f>HYPERLINK("https://www.policestationreps.com/reps.php?ID=2175&amp;venue=Bolton Crown Court&amp;pocoone=Qjc3IDJRRw==&amp;pocotwo=BL1 1SU")</f>
        <v>0</v>
      </c>
      <c r="E361" t="s">
        <v>545</v>
      </c>
      <c r="F361">
        <f>HYPERLINK("https://www.google.com/maps/search/Blackhorse Street, Greater Manchester BL1 1SU")</f>
        <v>0</v>
      </c>
      <c r="G361">
        <f>HYPERLINK("tel:01204 392 881")</f>
        <v>0</v>
      </c>
    </row>
    <row r="362" spans="1:7">
      <c r="A362" t="s">
        <v>365</v>
      </c>
      <c r="B362">
        <f>HYPERLINK("tel:07906 779 519")</f>
        <v>0</v>
      </c>
      <c r="C362" t="s">
        <v>539</v>
      </c>
      <c r="D362">
        <f>HYPERLINK("https://www.policestationreps.com/reps.php?ID=2309&amp;venue=Bolton Crown Court&amp;pocoone=QjQzIDVORA==&amp;pocotwo=BL1 1SU")</f>
        <v>0</v>
      </c>
      <c r="E362" t="s">
        <v>545</v>
      </c>
      <c r="F362">
        <f>HYPERLINK("https://www.google.com/maps/search/Blackhorse Street, Greater Manchester BL1 1SU")</f>
        <v>0</v>
      </c>
      <c r="G362">
        <f>HYPERLINK("tel:01204 392 881")</f>
        <v>0</v>
      </c>
    </row>
    <row r="363" spans="1:7">
      <c r="A363" t="s">
        <v>366</v>
      </c>
      <c r="B363">
        <f>HYPERLINK("tel:07464 968 310")</f>
        <v>0</v>
      </c>
      <c r="C363" t="s">
        <v>539</v>
      </c>
      <c r="D363">
        <f>HYPERLINK("https://www.policestationreps.com/reps.php?ID=2854&amp;venue=Bolton Crown Court&amp;pocoone=Qjc3IDRFUw==&amp;pocotwo=BL1 1SU")</f>
        <v>0</v>
      </c>
      <c r="E363" t="s">
        <v>545</v>
      </c>
      <c r="F363">
        <f>HYPERLINK("https://www.google.com/maps/search/Blackhorse Street, Greater Manchester BL1 1SU")</f>
        <v>0</v>
      </c>
      <c r="G363">
        <f>HYPERLINK("tel:01204 392 881")</f>
        <v>0</v>
      </c>
    </row>
    <row r="364" spans="1:7">
      <c r="A364" t="s">
        <v>367</v>
      </c>
      <c r="B364">
        <f>HYPERLINK("tel:07771 144 588")</f>
        <v>0</v>
      </c>
      <c r="C364" t="s">
        <v>539</v>
      </c>
      <c r="D364">
        <f>HYPERLINK("https://www.policestationreps.com/reps.php?ID=2665&amp;venue=Bolton Crown Court&amp;pocoone=Qjc1IDVOQQ==&amp;pocotwo=BL1 1SU")</f>
        <v>0</v>
      </c>
      <c r="E364" t="s">
        <v>545</v>
      </c>
      <c r="F364">
        <f>HYPERLINK("https://www.google.com/maps/search/Blackhorse Street, Greater Manchester BL1 1SU")</f>
        <v>0</v>
      </c>
      <c r="G364">
        <f>HYPERLINK("tel:01204 392 881")</f>
        <v>0</v>
      </c>
    </row>
    <row r="365" spans="1:7">
      <c r="A365" t="s">
        <v>368</v>
      </c>
      <c r="B365">
        <f>HYPERLINK("tel:07736 625 844")</f>
        <v>0</v>
      </c>
      <c r="C365" t="s">
        <v>540</v>
      </c>
      <c r="D365">
        <f>HYPERLINK("https://www.policestationreps.com/reps.php?ID=353&amp;venue=Bolton Crown Court&amp;pocoone=TEU2NyAyQUY=&amp;pocotwo=BL1 1SU")</f>
        <v>0</v>
      </c>
      <c r="E365" t="s">
        <v>545</v>
      </c>
      <c r="F365">
        <f>HYPERLINK("https://www.google.com/maps/search/Blackhorse Street, Greater Manchester BL1 1SU")</f>
        <v>0</v>
      </c>
      <c r="G365">
        <f>HYPERLINK("tel:01204 392 881")</f>
        <v>0</v>
      </c>
    </row>
    <row r="366" spans="1:7">
      <c r="A366" t="s">
        <v>369</v>
      </c>
      <c r="B366">
        <f>HYPERLINK("tel:07730 800 130")</f>
        <v>0</v>
      </c>
      <c r="C366" t="s">
        <v>539</v>
      </c>
      <c r="D366">
        <f>HYPERLINK("https://www.policestationreps.com/reps.php?ID=1405&amp;venue=Bolton Crown Court&amp;pocoone=QjcyIDFYRw==&amp;pocotwo=BL1 1SU")</f>
        <v>0</v>
      </c>
      <c r="E366" t="s">
        <v>545</v>
      </c>
      <c r="F366">
        <f>HYPERLINK("https://www.google.com/maps/search/Blackhorse Street, Greater Manchester BL1 1SU")</f>
        <v>0</v>
      </c>
      <c r="G366">
        <f>HYPERLINK("tel:01204 392 881")</f>
        <v>0</v>
      </c>
    </row>
    <row r="367" spans="1:7">
      <c r="A367" t="s">
        <v>370</v>
      </c>
      <c r="B367">
        <f>HYPERLINK("tel:07850 758 554")</f>
        <v>0</v>
      </c>
      <c r="C367" t="s">
        <v>539</v>
      </c>
      <c r="D367">
        <f>HYPERLINK("https://www.policestationreps.com/reps.php?ID=80&amp;venue=Bolton Crown Court&amp;pocoone=QjQ0IDhKWQ==&amp;pocotwo=BL1 1SU")</f>
        <v>0</v>
      </c>
      <c r="E367" t="s">
        <v>545</v>
      </c>
      <c r="F367">
        <f>HYPERLINK("https://www.google.com/maps/search/Blackhorse Street, Greater Manchester BL1 1SU")</f>
        <v>0</v>
      </c>
      <c r="G367">
        <f>HYPERLINK("tel:01204 392 881")</f>
        <v>0</v>
      </c>
    </row>
    <row r="368" spans="1:7">
      <c r="A368" t="s">
        <v>371</v>
      </c>
      <c r="B368">
        <f>HYPERLINK("tel:07305 206 866")</f>
        <v>0</v>
      </c>
      <c r="C368" t="s">
        <v>539</v>
      </c>
      <c r="D368">
        <f>HYPERLINK("https://www.policestationreps.com/reps.php?ID=2638&amp;venue=Bolton Crown Court&amp;pocoone=QjcwIDZIWg==&amp;pocotwo=BL1 1SU")</f>
        <v>0</v>
      </c>
      <c r="E368" t="s">
        <v>545</v>
      </c>
      <c r="F368">
        <f>HYPERLINK("https://www.google.com/maps/search/Blackhorse Street, Greater Manchester BL1 1SU")</f>
        <v>0</v>
      </c>
      <c r="G368">
        <f>HYPERLINK("tel:01204 392 881")</f>
        <v>0</v>
      </c>
    </row>
    <row r="369" spans="1:7">
      <c r="A369" t="s">
        <v>372</v>
      </c>
      <c r="B369">
        <f>HYPERLINK("tel:07800 503 023")</f>
        <v>0</v>
      </c>
      <c r="C369" t="s">
        <v>539</v>
      </c>
      <c r="D369">
        <f>HYPERLINK("https://www.policestationreps.com/reps.php?ID=2470&amp;venue=Bolton Crown Court&amp;pocoone=QjQyIDJTVQ==&amp;pocotwo=BL1 1SU")</f>
        <v>0</v>
      </c>
      <c r="E369" t="s">
        <v>545</v>
      </c>
      <c r="F369">
        <f>HYPERLINK("https://www.google.com/maps/search/Blackhorse Street, Greater Manchester BL1 1SU")</f>
        <v>0</v>
      </c>
      <c r="G369">
        <f>HYPERLINK("tel:01204 392 881")</f>
        <v>0</v>
      </c>
    </row>
    <row r="370" spans="1:7">
      <c r="A370" t="s">
        <v>373</v>
      </c>
      <c r="B370">
        <f>HYPERLINK("tel:07970 550 757")</f>
        <v>0</v>
      </c>
      <c r="C370" t="s">
        <v>539</v>
      </c>
      <c r="D370">
        <f>HYPERLINK("https://www.policestationreps.com/reps.php?ID=1411&amp;venue=Bolton Crown Court&amp;pocoone=QjcyIDFOTg==&amp;pocotwo=BL1 1SU")</f>
        <v>0</v>
      </c>
      <c r="E370" t="s">
        <v>545</v>
      </c>
      <c r="F370">
        <f>HYPERLINK("https://www.google.com/maps/search/Blackhorse Street, Greater Manchester BL1 1SU")</f>
        <v>0</v>
      </c>
      <c r="G370">
        <f>HYPERLINK("tel:01204 392 881")</f>
        <v>0</v>
      </c>
    </row>
    <row r="371" spans="1:7">
      <c r="A371" t="s">
        <v>374</v>
      </c>
      <c r="B371">
        <f>HYPERLINK("tel:07835 599 696")</f>
        <v>0</v>
      </c>
      <c r="C371" t="s">
        <v>539</v>
      </c>
      <c r="D371">
        <f>HYPERLINK("https://www.policestationreps.com/reps.php?ID=2318&amp;venue=Bolton Crown Court&amp;pocoone=QjQyIDFQWA==&amp;pocotwo=BL1 1SU")</f>
        <v>0</v>
      </c>
      <c r="E371" t="s">
        <v>545</v>
      </c>
      <c r="F371">
        <f>HYPERLINK("https://www.google.com/maps/search/Blackhorse Street, Greater Manchester BL1 1SU")</f>
        <v>0</v>
      </c>
      <c r="G371">
        <f>HYPERLINK("tel:01204 392 881")</f>
        <v>0</v>
      </c>
    </row>
    <row r="372" spans="1:7">
      <c r="A372" t="s">
        <v>371</v>
      </c>
      <c r="B372">
        <f>HYPERLINK("tel:07941 336 044")</f>
        <v>0</v>
      </c>
      <c r="C372" t="s">
        <v>539</v>
      </c>
      <c r="D372">
        <f>HYPERLINK("https://www.policestationreps.com/reps.php?ID=2520&amp;venue=Bolton Crown Court&amp;pocoone=QjcwIDZIWg==&amp;pocotwo=BL1 1SU")</f>
        <v>0</v>
      </c>
      <c r="E372" t="s">
        <v>545</v>
      </c>
      <c r="F372">
        <f>HYPERLINK("https://www.google.com/maps/search/Blackhorse Street, Greater Manchester BL1 1SU")</f>
        <v>0</v>
      </c>
      <c r="G372">
        <f>HYPERLINK("tel:01204 392 881")</f>
        <v>0</v>
      </c>
    </row>
    <row r="373" spans="1:7">
      <c r="A373" t="s">
        <v>375</v>
      </c>
      <c r="B373">
        <f>HYPERLINK("tel:07909 102 168")</f>
        <v>0</v>
      </c>
      <c r="C373" t="s">
        <v>539</v>
      </c>
      <c r="D373">
        <f>HYPERLINK("https://www.policestationreps.com/reps.php?ID=2560&amp;venue=Bolton Crown Court&amp;pocoone=QjcwIDdKRA==&amp;pocotwo=BL1 1SU")</f>
        <v>0</v>
      </c>
      <c r="E373" t="s">
        <v>545</v>
      </c>
      <c r="F373">
        <f>HYPERLINK("https://www.google.com/maps/search/Blackhorse Street, Greater Manchester BL1 1SU")</f>
        <v>0</v>
      </c>
      <c r="G373">
        <f>HYPERLINK("tel:01204 392 881")</f>
        <v>0</v>
      </c>
    </row>
    <row r="374" spans="1:7">
      <c r="A374" t="s">
        <v>376</v>
      </c>
      <c r="B374">
        <f>HYPERLINK("tel:07922 298 966")</f>
        <v>0</v>
      </c>
      <c r="C374" t="s">
        <v>539</v>
      </c>
      <c r="D374">
        <f>HYPERLINK("https://www.policestationreps.com/reps.php?ID=2825&amp;venue=Bolton Crown Court&amp;pocoone=QjcwIDZIWg==&amp;pocotwo=BL1 1SU")</f>
        <v>0</v>
      </c>
      <c r="E374" t="s">
        <v>545</v>
      </c>
      <c r="F374">
        <f>HYPERLINK("https://www.google.com/maps/search/Blackhorse Street, Greater Manchester BL1 1SU")</f>
        <v>0</v>
      </c>
      <c r="G374">
        <f>HYPERLINK("tel:01204 392 881")</f>
        <v>0</v>
      </c>
    </row>
    <row r="375" spans="1:7">
      <c r="A375" t="s">
        <v>377</v>
      </c>
      <c r="B375">
        <f>HYPERLINK("tel:07539 259 550")</f>
        <v>0</v>
      </c>
      <c r="C375" t="s">
        <v>539</v>
      </c>
      <c r="D375">
        <f>HYPERLINK("https://www.policestationreps.com/reps.php?ID=1820&amp;venue=Bolton Crown Court&amp;pocoone=QjQyIDJTWQ==&amp;pocotwo=BL1 1SU")</f>
        <v>0</v>
      </c>
      <c r="E375" t="s">
        <v>545</v>
      </c>
      <c r="F375">
        <f>HYPERLINK("https://www.google.com/maps/search/Blackhorse Street, Greater Manchester BL1 1SU")</f>
        <v>0</v>
      </c>
      <c r="G375">
        <f>HYPERLINK("tel:01204 392 881")</f>
        <v>0</v>
      </c>
    </row>
    <row r="376" spans="1:7">
      <c r="A376" t="s">
        <v>378</v>
      </c>
      <c r="B376">
        <f>HYPERLINK("tel:07597 025 146")</f>
        <v>0</v>
      </c>
      <c r="C376" t="s">
        <v>539</v>
      </c>
      <c r="D376">
        <f>HYPERLINK("https://www.policestationreps.com/reps.php?ID=2418&amp;venue=Bolton Crown Court&amp;pocoone=QjQyIDJBVA==&amp;pocotwo=BL1 1SU")</f>
        <v>0</v>
      </c>
      <c r="E376" t="s">
        <v>545</v>
      </c>
      <c r="F376">
        <f>HYPERLINK("https://www.google.com/maps/search/Blackhorse Street, Greater Manchester BL1 1SU")</f>
        <v>0</v>
      </c>
      <c r="G376">
        <f>HYPERLINK("tel:01204 392 881")</f>
        <v>0</v>
      </c>
    </row>
    <row r="377" spans="1:7">
      <c r="A377" t="s">
        <v>379</v>
      </c>
      <c r="B377">
        <f>HYPERLINK("tel:07761 232 236")</f>
        <v>0</v>
      </c>
      <c r="C377" t="s">
        <v>539</v>
      </c>
      <c r="D377">
        <f>HYPERLINK("https://www.policestationreps.com/reps.php?ID=297&amp;venue=Bolton Crown Court&amp;pocoone=RFk2IDBOUA==&amp;pocotwo=BL1 1SU")</f>
        <v>0</v>
      </c>
      <c r="E377" t="s">
        <v>545</v>
      </c>
      <c r="F377">
        <f>HYPERLINK("https://www.google.com/maps/search/Blackhorse Street, Greater Manchester BL1 1SU")</f>
        <v>0</v>
      </c>
      <c r="G377">
        <f>HYPERLINK("tel:01204 392 881")</f>
        <v>0</v>
      </c>
    </row>
    <row r="378" spans="1:7">
      <c r="A378" t="s">
        <v>380</v>
      </c>
      <c r="B378">
        <f>HYPERLINK("tel:07912 257 076")</f>
        <v>0</v>
      </c>
      <c r="C378" t="s">
        <v>541</v>
      </c>
      <c r="D378">
        <f>HYPERLINK("https://www.policestationreps.com/reps.php?ID=2660&amp;venue=Bolton Crown Court&amp;pocoone=QjQyIDFBQQ==&amp;pocotwo=BL1 1SU")</f>
        <v>0</v>
      </c>
      <c r="E378" t="s">
        <v>545</v>
      </c>
      <c r="F378">
        <f>HYPERLINK("https://www.google.com/maps/search/Blackhorse Street, Greater Manchester BL1 1SU")</f>
        <v>0</v>
      </c>
      <c r="G378">
        <f>HYPERLINK("tel:01204 392 881")</f>
        <v>0</v>
      </c>
    </row>
    <row r="379" spans="1:7">
      <c r="A379" t="s">
        <v>381</v>
      </c>
      <c r="B379">
        <f>HYPERLINK("tel:07722 518 450")</f>
        <v>0</v>
      </c>
      <c r="C379" t="s">
        <v>539</v>
      </c>
      <c r="D379">
        <f>HYPERLINK("https://www.policestationreps.com/reps.php?ID=1833&amp;venue=Bolton Crown Court&amp;pocoone=QjQyIDJMWA==&amp;pocotwo=BL1 1SU")</f>
        <v>0</v>
      </c>
      <c r="E379" t="s">
        <v>545</v>
      </c>
      <c r="F379">
        <f>HYPERLINK("https://www.google.com/maps/search/Blackhorse Street, Greater Manchester BL1 1SU")</f>
        <v>0</v>
      </c>
      <c r="G379">
        <f>HYPERLINK("tel:01204 392 881")</f>
        <v>0</v>
      </c>
    </row>
    <row r="380" spans="1:7">
      <c r="A380" t="s">
        <v>378</v>
      </c>
      <c r="B380">
        <f>HYPERLINK("tel:07950 234 369")</f>
        <v>0</v>
      </c>
      <c r="C380" t="s">
        <v>539</v>
      </c>
      <c r="D380">
        <f>HYPERLINK("https://www.policestationreps.com/reps.php?ID=8&amp;venue=Bolton Crown Court&amp;pocoone=QjQyIDJBVA==&amp;pocotwo=BL1 1SU")</f>
        <v>0</v>
      </c>
      <c r="E380" t="s">
        <v>545</v>
      </c>
      <c r="F380">
        <f>HYPERLINK("https://www.google.com/maps/search/Blackhorse Street, Greater Manchester BL1 1SU")</f>
        <v>0</v>
      </c>
      <c r="G380">
        <f>HYPERLINK("tel:01204 392 881")</f>
        <v>0</v>
      </c>
    </row>
    <row r="381" spans="1:7">
      <c r="A381" t="s">
        <v>382</v>
      </c>
      <c r="B381">
        <f>HYPERLINK("tel:07850 783 488")</f>
        <v>0</v>
      </c>
      <c r="C381" t="s">
        <v>539</v>
      </c>
      <c r="D381">
        <f>HYPERLINK("https://www.policestationreps.com/reps.php?ID=79&amp;venue=Bolton Crown Court&amp;pocoone=QjQ0IDhKWQ==&amp;pocotwo=BL1 1SU")</f>
        <v>0</v>
      </c>
      <c r="E381" t="s">
        <v>545</v>
      </c>
      <c r="F381">
        <f>HYPERLINK("https://www.google.com/maps/search/Blackhorse Street, Greater Manchester BL1 1SU")</f>
        <v>0</v>
      </c>
      <c r="G381">
        <f>HYPERLINK("tel:01204 392 881")</f>
        <v>0</v>
      </c>
    </row>
    <row r="382" spans="1:7">
      <c r="A382" t="s">
        <v>383</v>
      </c>
      <c r="B382">
        <f>HYPERLINK("tel:07495 986 835")</f>
        <v>0</v>
      </c>
      <c r="C382" t="s">
        <v>539</v>
      </c>
      <c r="D382">
        <f>HYPERLINK("https://www.policestationreps.com/reps.php?ID=2901&amp;venue=Bolton Crown Court&amp;pocoone=QjcwIDlBVQ==&amp;pocotwo=BL1 1SU")</f>
        <v>0</v>
      </c>
      <c r="E382" t="s">
        <v>545</v>
      </c>
      <c r="F382">
        <f>HYPERLINK("https://www.google.com/maps/search/Blackhorse Street, Greater Manchester BL1 1SU")</f>
        <v>0</v>
      </c>
      <c r="G382">
        <f>HYPERLINK("tel:01204 392 881")</f>
        <v>0</v>
      </c>
    </row>
    <row r="383" spans="1:7">
      <c r="A383" t="s">
        <v>384</v>
      </c>
      <c r="B383">
        <f>HYPERLINK("tel:07455 459 595")</f>
        <v>0</v>
      </c>
      <c r="C383" t="s">
        <v>541</v>
      </c>
      <c r="D383">
        <f>HYPERLINK("https://www.policestationreps.com/reps.php?ID=1557&amp;venue=Bolton Crown Court&amp;pocoone=QjcwIDhQQQ==&amp;pocotwo=BL1 1SU")</f>
        <v>0</v>
      </c>
      <c r="E383" t="s">
        <v>545</v>
      </c>
      <c r="F383">
        <f>HYPERLINK("https://www.google.com/maps/search/Blackhorse Street, Greater Manchester BL1 1SU")</f>
        <v>0</v>
      </c>
      <c r="G383">
        <f>HYPERLINK("tel:01204 392 881")</f>
        <v>0</v>
      </c>
    </row>
    <row r="384" spans="1:7">
      <c r="A384" t="s">
        <v>385</v>
      </c>
      <c r="B384">
        <f>HYPERLINK("tel:07837 007 167")</f>
        <v>0</v>
      </c>
      <c r="C384" t="s">
        <v>539</v>
      </c>
      <c r="D384">
        <f>HYPERLINK("https://www.policestationreps.com/reps.php?ID=858&amp;venue=Bolton Crown Court&amp;pocoone=QjY5IDJKRA==&amp;pocotwo=BL1 1SU")</f>
        <v>0</v>
      </c>
      <c r="E384" t="s">
        <v>545</v>
      </c>
      <c r="F384">
        <f>HYPERLINK("https://www.google.com/maps/search/Blackhorse Street, Greater Manchester BL1 1SU")</f>
        <v>0</v>
      </c>
      <c r="G384">
        <f>HYPERLINK("tel:01204 392 881")</f>
        <v>0</v>
      </c>
    </row>
    <row r="385" spans="1:7">
      <c r="A385" t="s">
        <v>386</v>
      </c>
      <c r="B385">
        <f>HYPERLINK("tel:07583 762 154")</f>
        <v>0</v>
      </c>
      <c r="C385" t="s">
        <v>539</v>
      </c>
      <c r="D385">
        <f>HYPERLINK("https://www.policestationreps.com/reps.php?ID=1159&amp;venue=Bolton Crown Court&amp;pocoone=QjY5IDJKRA==&amp;pocotwo=BL1 1SU")</f>
        <v>0</v>
      </c>
      <c r="E385" t="s">
        <v>545</v>
      </c>
      <c r="F385">
        <f>HYPERLINK("https://www.google.com/maps/search/Blackhorse Street, Greater Manchester BL1 1SU")</f>
        <v>0</v>
      </c>
      <c r="G385">
        <f>HYPERLINK("tel:01204 392 881")</f>
        <v>0</v>
      </c>
    </row>
    <row r="386" spans="1:7">
      <c r="A386" t="s">
        <v>387</v>
      </c>
      <c r="B386">
        <f>HYPERLINK("tel:07838 405 022")</f>
        <v>0</v>
      </c>
      <c r="C386" t="s">
        <v>539</v>
      </c>
      <c r="D386">
        <f>HYPERLINK("https://www.policestationreps.com/reps.php?ID=367&amp;venue=Bolton Crown Court&amp;pocoone=QjIzIDVYWA==&amp;pocotwo=BL1 1SU")</f>
        <v>0</v>
      </c>
      <c r="E386" t="s">
        <v>545</v>
      </c>
      <c r="F386">
        <f>HYPERLINK("https://www.google.com/maps/search/Blackhorse Street, Greater Manchester BL1 1SU")</f>
        <v>0</v>
      </c>
      <c r="G386">
        <f>HYPERLINK("tel:01204 392 881")</f>
        <v>0</v>
      </c>
    </row>
    <row r="387" spans="1:7">
      <c r="A387" t="s">
        <v>388</v>
      </c>
      <c r="B387">
        <f>HYPERLINK("tel:07866 824 270")</f>
        <v>0</v>
      </c>
      <c r="C387" t="s">
        <v>539</v>
      </c>
      <c r="D387">
        <f>HYPERLINK("https://www.policestationreps.com/reps.php?ID=2411&amp;venue=Bolton Crown Court&amp;pocoone=U1kxNSA2Tkw=&amp;pocotwo=BL1 1SU")</f>
        <v>0</v>
      </c>
      <c r="E387" t="s">
        <v>545</v>
      </c>
      <c r="F387">
        <f>HYPERLINK("https://www.google.com/maps/search/Blackhorse Street, Greater Manchester BL1 1SU")</f>
        <v>0</v>
      </c>
      <c r="G387">
        <f>HYPERLINK("tel:01204 392 881")</f>
        <v>0</v>
      </c>
    </row>
    <row r="388" spans="1:7">
      <c r="A388" t="s">
        <v>389</v>
      </c>
      <c r="B388">
        <f>HYPERLINK("tel:07590 396 168")</f>
        <v>0</v>
      </c>
      <c r="C388" t="s">
        <v>540</v>
      </c>
      <c r="D388">
        <f>HYPERLINK("https://www.policestationreps.com/reps.php?ID=1987&amp;venue=Bolton Crown Court&amp;pocoone=QjIwIDFCTA==&amp;pocotwo=BL1 1SU")</f>
        <v>0</v>
      </c>
      <c r="E388" t="s">
        <v>545</v>
      </c>
      <c r="F388">
        <f>HYPERLINK("https://www.google.com/maps/search/Blackhorse Street, Greater Manchester BL1 1SU")</f>
        <v>0</v>
      </c>
      <c r="G388">
        <f>HYPERLINK("tel:01204 392 881")</f>
        <v>0</v>
      </c>
    </row>
    <row r="389" spans="1:7">
      <c r="A389" t="s">
        <v>390</v>
      </c>
      <c r="B389">
        <f>HYPERLINK("tel:07939 485 894")</f>
        <v>0</v>
      </c>
      <c r="C389" t="s">
        <v>539</v>
      </c>
      <c r="D389">
        <f>HYPERLINK("https://www.policestationreps.com/reps.php?ID=1929&amp;venue=Bolton Crown Court&amp;pocoone=QjIwIDNIVA==&amp;pocotwo=BL1 1SU")</f>
        <v>0</v>
      </c>
      <c r="E389" t="s">
        <v>545</v>
      </c>
      <c r="F389">
        <f>HYPERLINK("https://www.google.com/maps/search/Blackhorse Street, Greater Manchester BL1 1SU")</f>
        <v>0</v>
      </c>
      <c r="G389">
        <f>HYPERLINK("tel:01204 392 881")</f>
        <v>0</v>
      </c>
    </row>
    <row r="390" spans="1:7">
      <c r="A390" t="s">
        <v>391</v>
      </c>
      <c r="B390">
        <f>HYPERLINK("tel:07791 256 599")</f>
        <v>0</v>
      </c>
      <c r="C390" t="s">
        <v>539</v>
      </c>
      <c r="D390">
        <f>HYPERLINK("https://www.policestationreps.com/reps.php?ID=1091&amp;venue=Bolton Crown Court&amp;pocoone=QjIxIDlFRw==&amp;pocotwo=BL1 1SU")</f>
        <v>0</v>
      </c>
      <c r="E390" t="s">
        <v>545</v>
      </c>
      <c r="F390">
        <f>HYPERLINK("https://www.google.com/maps/search/Blackhorse Street, Greater Manchester BL1 1SU")</f>
        <v>0</v>
      </c>
      <c r="G390">
        <f>HYPERLINK("tel:01204 392 881")</f>
        <v>0</v>
      </c>
    </row>
    <row r="391" spans="1:7">
      <c r="A391" t="s">
        <v>392</v>
      </c>
      <c r="B391">
        <f>HYPERLINK("tel:07950 651 281")</f>
        <v>0</v>
      </c>
      <c r="C391" t="s">
        <v>539</v>
      </c>
      <c r="D391">
        <f>HYPERLINK("https://www.policestationreps.com/reps.php?ID=2583&amp;venue=Bolton Crown Court&amp;pocoone=QjIwIDNERA==&amp;pocotwo=BL1 1SU")</f>
        <v>0</v>
      </c>
      <c r="E391" t="s">
        <v>545</v>
      </c>
      <c r="F391">
        <f>HYPERLINK("https://www.google.com/maps/search/Blackhorse Street, Greater Manchester BL1 1SU")</f>
        <v>0</v>
      </c>
      <c r="G391">
        <f>HYPERLINK("tel:01204 392 881")</f>
        <v>0</v>
      </c>
    </row>
    <row r="392" spans="1:7">
      <c r="A392" t="s">
        <v>393</v>
      </c>
      <c r="B392">
        <f>HYPERLINK("tel:07908 558 944")</f>
        <v>0</v>
      </c>
      <c r="C392" t="s">
        <v>539</v>
      </c>
      <c r="D392">
        <f>HYPERLINK("https://www.policestationreps.com/reps.php?ID=2736&amp;venue=Bolton Crown Court&amp;pocoone=QjY1IDhCVQ==&amp;pocotwo=BL1 1SU")</f>
        <v>0</v>
      </c>
      <c r="E392" t="s">
        <v>545</v>
      </c>
      <c r="F392">
        <f>HYPERLINK("https://www.google.com/maps/search/Blackhorse Street, Greater Manchester BL1 1SU")</f>
        <v>0</v>
      </c>
      <c r="G392">
        <f>HYPERLINK("tel:01204 392 881")</f>
        <v>0</v>
      </c>
    </row>
    <row r="393" spans="1:7">
      <c r="A393" t="s">
        <v>394</v>
      </c>
      <c r="B393">
        <f>HYPERLINK("tel:07929 700 700")</f>
        <v>0</v>
      </c>
      <c r="C393" t="s">
        <v>539</v>
      </c>
      <c r="D393">
        <f>HYPERLINK("https://www.policestationreps.com/reps.php?ID=460&amp;venue=Bolton Crown Court&amp;pocoone=QjIwIDFEVQ==&amp;pocotwo=BL1 1SU")</f>
        <v>0</v>
      </c>
      <c r="E393" t="s">
        <v>545</v>
      </c>
      <c r="F393">
        <f>HYPERLINK("https://www.google.com/maps/search/Blackhorse Street, Greater Manchester BL1 1SU")</f>
        <v>0</v>
      </c>
      <c r="G393">
        <f>HYPERLINK("tel:01204 392 881")</f>
        <v>0</v>
      </c>
    </row>
    <row r="394" spans="1:7">
      <c r="A394" t="s">
        <v>395</v>
      </c>
      <c r="B394">
        <f>HYPERLINK("tel:07500 970 221")</f>
        <v>0</v>
      </c>
      <c r="C394" t="s">
        <v>541</v>
      </c>
      <c r="D394">
        <f>HYPERLINK("https://www.policestationreps.com/reps.php?ID=1539&amp;venue=Bolton Crown Court&amp;pocoone=QjIwIDNUQQ==&amp;pocotwo=BL1 1SU")</f>
        <v>0</v>
      </c>
      <c r="E394" t="s">
        <v>545</v>
      </c>
      <c r="F394">
        <f>HYPERLINK("https://www.google.com/maps/search/Blackhorse Street, Greater Manchester BL1 1SU")</f>
        <v>0</v>
      </c>
      <c r="G394">
        <f>HYPERLINK("tel:01204 392 881")</f>
        <v>0</v>
      </c>
    </row>
    <row r="395" spans="1:7">
      <c r="A395" t="s">
        <v>396</v>
      </c>
      <c r="B395">
        <f>HYPERLINK("tel:07733 442 605")</f>
        <v>0</v>
      </c>
      <c r="C395" t="s">
        <v>539</v>
      </c>
      <c r="D395">
        <f>HYPERLINK("https://www.policestationreps.com/reps.php?ID=1436&amp;venue=Bolton Crown Court&amp;pocoone=QjIwIDJOUQ==&amp;pocotwo=BL1 1SU")</f>
        <v>0</v>
      </c>
      <c r="E395" t="s">
        <v>545</v>
      </c>
      <c r="F395">
        <f>HYPERLINK("https://www.google.com/maps/search/Blackhorse Street, Greater Manchester BL1 1SU")</f>
        <v>0</v>
      </c>
      <c r="G395">
        <f>HYPERLINK("tel:01204 392 881")</f>
        <v>0</v>
      </c>
    </row>
    <row r="396" spans="1:7">
      <c r="A396" t="s">
        <v>397</v>
      </c>
      <c r="B396">
        <f>HYPERLINK("tel:07957 377 757")</f>
        <v>0</v>
      </c>
      <c r="C396" t="s">
        <v>539</v>
      </c>
      <c r="D396">
        <f>HYPERLINK("https://www.policestationreps.com/reps.php?ID=2773&amp;venue=Bolton Crown Court&amp;pocoone=QjIwIDFERw==&amp;pocotwo=BL1 1SU")</f>
        <v>0</v>
      </c>
      <c r="E396" t="s">
        <v>545</v>
      </c>
      <c r="F396">
        <f>HYPERLINK("https://www.google.com/maps/search/Blackhorse Street, Greater Manchester BL1 1SU")</f>
        <v>0</v>
      </c>
      <c r="G396">
        <f>HYPERLINK("tel:01204 392 881")</f>
        <v>0</v>
      </c>
    </row>
    <row r="397" spans="1:7">
      <c r="A397" t="s">
        <v>398</v>
      </c>
      <c r="B397">
        <f>HYPERLINK("tel:07494 360 360")</f>
        <v>0</v>
      </c>
      <c r="C397" t="s">
        <v>539</v>
      </c>
      <c r="D397">
        <f>HYPERLINK("https://www.policestationreps.com/reps.php?ID=1721&amp;venue=Bolton Crown Court&amp;pocoone=QjIwIDFERw==&amp;pocotwo=BL1 1SU")</f>
        <v>0</v>
      </c>
      <c r="E397" t="s">
        <v>545</v>
      </c>
      <c r="F397">
        <f>HYPERLINK("https://www.google.com/maps/search/Blackhorse Street, Greater Manchester BL1 1SU")</f>
        <v>0</v>
      </c>
      <c r="G397">
        <f>HYPERLINK("tel:01204 392 881")</f>
        <v>0</v>
      </c>
    </row>
    <row r="398" spans="1:7">
      <c r="A398" t="s">
        <v>399</v>
      </c>
      <c r="B398">
        <f>HYPERLINK("tel:07985 168 881")</f>
        <v>0</v>
      </c>
      <c r="C398" t="s">
        <v>540</v>
      </c>
      <c r="D398">
        <f>HYPERLINK("https://www.policestationreps.com/reps.php?ID=2344&amp;venue=Bolton Crown Court&amp;pocoone=QjIwIDFERw==&amp;pocotwo=BL1 1SU")</f>
        <v>0</v>
      </c>
      <c r="E398" t="s">
        <v>545</v>
      </c>
      <c r="F398">
        <f>HYPERLINK("https://www.google.com/maps/search/Blackhorse Street, Greater Manchester BL1 1SU")</f>
        <v>0</v>
      </c>
      <c r="G398">
        <f>HYPERLINK("tel:01204 392 881")</f>
        <v>0</v>
      </c>
    </row>
    <row r="399" spans="1:7">
      <c r="A399" t="s">
        <v>400</v>
      </c>
      <c r="B399">
        <f>HYPERLINK("tel:07984 320 464")</f>
        <v>0</v>
      </c>
      <c r="C399" t="s">
        <v>540</v>
      </c>
      <c r="D399">
        <f>HYPERLINK("https://www.policestationreps.com/reps.php?ID=1653&amp;venue=Bolton Crown Court&amp;pocoone=QjYgNUha&amp;pocotwo=BL1 1SU")</f>
        <v>0</v>
      </c>
      <c r="E399" t="s">
        <v>545</v>
      </c>
      <c r="F399">
        <f>HYPERLINK("https://www.google.com/maps/search/Blackhorse Street, Greater Manchester BL1 1SU")</f>
        <v>0</v>
      </c>
      <c r="G399">
        <f>HYPERLINK("tel:01204 392 881")</f>
        <v>0</v>
      </c>
    </row>
    <row r="400" spans="1:7">
      <c r="A400" t="s">
        <v>401</v>
      </c>
      <c r="B400">
        <f>HYPERLINK("tel:07577 315 044")</f>
        <v>0</v>
      </c>
      <c r="C400" t="s">
        <v>540</v>
      </c>
      <c r="D400">
        <f>HYPERLINK("https://www.policestationreps.com/reps.php?ID=1223&amp;venue=Bolton Crown Court&amp;pocoone=REwxNCAwU0g=&amp;pocotwo=BL1 1SU")</f>
        <v>0</v>
      </c>
      <c r="E400" t="s">
        <v>545</v>
      </c>
      <c r="F400">
        <f>HYPERLINK("https://www.google.com/maps/search/Blackhorse Street, Greater Manchester BL1 1SU")</f>
        <v>0</v>
      </c>
      <c r="G400">
        <f>HYPERLINK("tel:01204 392 881")</f>
        <v>0</v>
      </c>
    </row>
    <row r="401" spans="1:7">
      <c r="A401" t="s">
        <v>402</v>
      </c>
      <c r="B401">
        <f>HYPERLINK("tel:01388 606 660")</f>
        <v>0</v>
      </c>
      <c r="C401" t="s">
        <v>540</v>
      </c>
      <c r="D401">
        <f>HYPERLINK("https://www.policestationreps.com/reps.php?ID=2386&amp;venue=Bolton Crown Court&amp;pocoone=REwxNCA2RU4=&amp;pocotwo=BL1 1SU")</f>
        <v>0</v>
      </c>
      <c r="E401" t="s">
        <v>545</v>
      </c>
      <c r="F401">
        <f>HYPERLINK("https://www.google.com/maps/search/Blackhorse Street, Greater Manchester BL1 1SU")</f>
        <v>0</v>
      </c>
      <c r="G401">
        <f>HYPERLINK("tel:01204 392 881")</f>
        <v>0</v>
      </c>
    </row>
    <row r="402" spans="1:7">
      <c r="A402" t="s">
        <v>403</v>
      </c>
      <c r="B402">
        <f>HYPERLINK("tel:07925 917 797")</f>
        <v>0</v>
      </c>
      <c r="C402" t="s">
        <v>539</v>
      </c>
      <c r="D402">
        <f>HYPERLINK("https://www.policestationreps.com/reps.php?ID=2828&amp;venue=Bolton Crown Court&amp;pocoone=QjE5IDFBRw==&amp;pocotwo=BL1 1SU")</f>
        <v>0</v>
      </c>
      <c r="E402" t="s">
        <v>545</v>
      </c>
      <c r="F402">
        <f>HYPERLINK("https://www.google.com/maps/search/Blackhorse Street, Greater Manchester BL1 1SU")</f>
        <v>0</v>
      </c>
      <c r="G402">
        <f>HYPERLINK("tel:01204 392 881")</f>
        <v>0</v>
      </c>
    </row>
    <row r="403" spans="1:7">
      <c r="A403" t="s">
        <v>404</v>
      </c>
      <c r="B403">
        <f>HYPERLINK("tel:07957 306 554")</f>
        <v>0</v>
      </c>
      <c r="C403" t="s">
        <v>539</v>
      </c>
      <c r="D403">
        <f>HYPERLINK("https://www.policestationreps.com/reps.php?ID=1928&amp;venue=Bolton Crown Court&amp;pocoone=QjY4IDBMSg==&amp;pocotwo=BL1 1SU")</f>
        <v>0</v>
      </c>
      <c r="E403" t="s">
        <v>545</v>
      </c>
      <c r="F403">
        <f>HYPERLINK("https://www.google.com/maps/search/Blackhorse Street, Greater Manchester BL1 1SU")</f>
        <v>0</v>
      </c>
      <c r="G403">
        <f>HYPERLINK("tel:01204 392 881")</f>
        <v>0</v>
      </c>
    </row>
    <row r="404" spans="1:7">
      <c r="A404" t="s">
        <v>405</v>
      </c>
      <c r="B404">
        <f>HYPERLINK("tel:07988 172 842")</f>
        <v>0</v>
      </c>
      <c r="C404" t="s">
        <v>540</v>
      </c>
      <c r="D404">
        <f>HYPERLINK("https://www.policestationreps.com/reps.php?ID=2111&amp;venue=Bolton Crown Court&amp;pocoone=QjYgNkhS&amp;pocotwo=BL1 1SU")</f>
        <v>0</v>
      </c>
      <c r="E404" t="s">
        <v>545</v>
      </c>
      <c r="F404">
        <f>HYPERLINK("https://www.google.com/maps/search/Blackhorse Street, Greater Manchester BL1 1SU")</f>
        <v>0</v>
      </c>
      <c r="G404">
        <f>HYPERLINK("tel:01204 392 881")</f>
        <v>0</v>
      </c>
    </row>
    <row r="405" spans="1:7">
      <c r="A405" t="s">
        <v>406</v>
      </c>
      <c r="B405">
        <f>HYPERLINK("tel:07737 290 592")</f>
        <v>0</v>
      </c>
      <c r="C405" t="s">
        <v>540</v>
      </c>
      <c r="D405">
        <f>HYPERLINK("https://www.policestationreps.com/reps.php?ID=443&amp;venue=Bolton Crown Court&amp;pocoone=QjY0IDVOUA==&amp;pocotwo=BL1 1SU")</f>
        <v>0</v>
      </c>
      <c r="E405" t="s">
        <v>545</v>
      </c>
      <c r="F405">
        <f>HYPERLINK("https://www.google.com/maps/search/Blackhorse Street, Greater Manchester BL1 1SU")</f>
        <v>0</v>
      </c>
      <c r="G405">
        <f>HYPERLINK("tel:01204 392 881")</f>
        <v>0</v>
      </c>
    </row>
    <row r="406" spans="1:7">
      <c r="A406" t="s">
        <v>407</v>
      </c>
      <c r="B406">
        <f>HYPERLINK("tel:07767 888 855")</f>
        <v>0</v>
      </c>
      <c r="C406" t="s">
        <v>540</v>
      </c>
      <c r="D406">
        <f>HYPERLINK("https://www.policestationreps.com/reps.php?ID=1404&amp;venue=Bolton Crown Court&amp;pocoone=QjE4IDZCQQ==&amp;pocotwo=BL1 1SU")</f>
        <v>0</v>
      </c>
      <c r="E406" t="s">
        <v>545</v>
      </c>
      <c r="F406">
        <f>HYPERLINK("https://www.google.com/maps/search/Blackhorse Street, Greater Manchester BL1 1SU")</f>
        <v>0</v>
      </c>
      <c r="G406">
        <f>HYPERLINK("tel:01204 392 881")</f>
        <v>0</v>
      </c>
    </row>
    <row r="407" spans="1:7">
      <c r="A407" t="s">
        <v>408</v>
      </c>
      <c r="B407">
        <f>HYPERLINK("tel:07789 951 131")</f>
        <v>0</v>
      </c>
      <c r="C407" t="s">
        <v>539</v>
      </c>
      <c r="D407">
        <f>HYPERLINK("https://www.policestationreps.com/reps.php?ID=1155&amp;venue=Bolton Crown Court&amp;pocoone=QjE4IDVTTg==&amp;pocotwo=BL1 1SU")</f>
        <v>0</v>
      </c>
      <c r="E407" t="s">
        <v>545</v>
      </c>
      <c r="F407">
        <f>HYPERLINK("https://www.google.com/maps/search/Blackhorse Street, Greater Manchester BL1 1SU")</f>
        <v>0</v>
      </c>
      <c r="G407">
        <f>HYPERLINK("tel:01204 392 881")</f>
        <v>0</v>
      </c>
    </row>
    <row r="408" spans="1:7">
      <c r="A408" t="s">
        <v>409</v>
      </c>
      <c r="B408">
        <f>HYPERLINK("tel:07977 645 779")</f>
        <v>0</v>
      </c>
      <c r="C408" t="s">
        <v>539</v>
      </c>
      <c r="D408">
        <f>HYPERLINK("https://www.policestationreps.com/reps.php?ID=2319&amp;venue=Bolton Crown Court&amp;pocoone=QjggMUpB&amp;pocotwo=BL1 1SU")</f>
        <v>0</v>
      </c>
      <c r="E408" t="s">
        <v>545</v>
      </c>
      <c r="F408">
        <f>HYPERLINK("https://www.google.com/maps/search/Blackhorse Street, Greater Manchester BL1 1SU")</f>
        <v>0</v>
      </c>
      <c r="G408">
        <f>HYPERLINK("tel:01204 392 881")</f>
        <v>0</v>
      </c>
    </row>
    <row r="409" spans="1:7">
      <c r="A409" t="s">
        <v>410</v>
      </c>
      <c r="B409">
        <f>HYPERLINK("tel:07803 068 687")</f>
        <v>0</v>
      </c>
      <c r="C409" t="s">
        <v>539</v>
      </c>
      <c r="D409">
        <f>HYPERLINK("https://www.policestationreps.com/reps.php?ID=2501&amp;venue=Bolton Crown Court&amp;pocoone=QjMgMUJV&amp;pocotwo=BL1 1SU")</f>
        <v>0</v>
      </c>
      <c r="E409" t="s">
        <v>545</v>
      </c>
      <c r="F409">
        <f>HYPERLINK("https://www.google.com/maps/search/Blackhorse Street, Greater Manchester BL1 1SU")</f>
        <v>0</v>
      </c>
      <c r="G409">
        <f>HYPERLINK("tel:01204 392 881")</f>
        <v>0</v>
      </c>
    </row>
    <row r="410" spans="1:7">
      <c r="A410" t="s">
        <v>411</v>
      </c>
      <c r="B410">
        <f>HYPERLINK("tel:07834 658 994")</f>
        <v>0</v>
      </c>
      <c r="C410" t="s">
        <v>539</v>
      </c>
      <c r="D410">
        <f>HYPERLINK("https://www.policestationreps.com/reps.php?ID=2305&amp;venue=Bolton Crown Court&amp;pocoone=RE4yMCAwTEc=&amp;pocotwo=BL1 1SU")</f>
        <v>0</v>
      </c>
      <c r="E410" t="s">
        <v>545</v>
      </c>
      <c r="F410">
        <f>HYPERLINK("https://www.google.com/maps/search/Blackhorse Street, Greater Manchester BL1 1SU")</f>
        <v>0</v>
      </c>
      <c r="G410">
        <f>HYPERLINK("tel:01204 392 881")</f>
        <v>0</v>
      </c>
    </row>
    <row r="411" spans="1:7">
      <c r="A411" t="s">
        <v>412</v>
      </c>
      <c r="B411">
        <f>HYPERLINK("tel:07591 461 160")</f>
        <v>0</v>
      </c>
      <c r="C411" t="s">
        <v>539</v>
      </c>
      <c r="D411">
        <f>HYPERLINK("https://www.policestationreps.com/reps.php?ID=2836&amp;venue=Bolton Crown Court&amp;pocoone=QjggM1NK&amp;pocotwo=BL1 1SU")</f>
        <v>0</v>
      </c>
      <c r="E411" t="s">
        <v>545</v>
      </c>
      <c r="F411">
        <f>HYPERLINK("https://www.google.com/maps/search/Blackhorse Street, Greater Manchester BL1 1SU")</f>
        <v>0</v>
      </c>
      <c r="G411">
        <f>HYPERLINK("tel:01204 392 881")</f>
        <v>0</v>
      </c>
    </row>
    <row r="412" spans="1:7">
      <c r="A412" t="s">
        <v>413</v>
      </c>
      <c r="B412">
        <f>HYPERLINK("tel:07958 273 723")</f>
        <v>0</v>
      </c>
      <c r="C412" t="s">
        <v>539</v>
      </c>
      <c r="D412">
        <f>HYPERLINK("https://www.policestationreps.com/reps.php?ID=2709&amp;venue=Bolton Crown Court&amp;pocoone=QjM2IDhIRA==&amp;pocotwo=BL1 1SU")</f>
        <v>0</v>
      </c>
      <c r="E412" t="s">
        <v>545</v>
      </c>
      <c r="F412">
        <f>HYPERLINK("https://www.google.com/maps/search/Blackhorse Street, Greater Manchester BL1 1SU")</f>
        <v>0</v>
      </c>
      <c r="G412">
        <f>HYPERLINK("tel:01204 392 881")</f>
        <v>0</v>
      </c>
    </row>
    <row r="413" spans="1:7">
      <c r="A413" t="s">
        <v>414</v>
      </c>
      <c r="B413">
        <f>HYPERLINK("tel:07930 810 931")</f>
        <v>0</v>
      </c>
      <c r="C413" t="s">
        <v>542</v>
      </c>
      <c r="D413">
        <f>HYPERLINK("https://www.policestationreps.com/reps.php?ID=2039&amp;venue=Bolton Crown Court&amp;pocoone=RE4yMCAwUFk=&amp;pocotwo=BL1 1SU")</f>
        <v>0</v>
      </c>
      <c r="E413" t="s">
        <v>545</v>
      </c>
      <c r="F413">
        <f>HYPERLINK("https://www.google.com/maps/search/Blackhorse Street, Greater Manchester BL1 1SU")</f>
        <v>0</v>
      </c>
      <c r="G413">
        <f>HYPERLINK("tel:01204 392 881")</f>
        <v>0</v>
      </c>
    </row>
    <row r="414" spans="1:7">
      <c r="A414" t="s">
        <v>415</v>
      </c>
      <c r="B414">
        <f>HYPERLINK("tel:07403 342 352")</f>
        <v>0</v>
      </c>
      <c r="C414" t="s">
        <v>540</v>
      </c>
      <c r="D414">
        <f>HYPERLINK("https://www.policestationreps.com/reps.php?ID=2378&amp;venue=Bolton Crown Court&amp;pocoone=QjggM1FV&amp;pocotwo=BL1 1SU")</f>
        <v>0</v>
      </c>
      <c r="E414" t="s">
        <v>545</v>
      </c>
      <c r="F414">
        <f>HYPERLINK("https://www.google.com/maps/search/Blackhorse Street, Greater Manchester BL1 1SU")</f>
        <v>0</v>
      </c>
      <c r="G414">
        <f>HYPERLINK("tel:01204 392 881")</f>
        <v>0</v>
      </c>
    </row>
    <row r="415" spans="1:7">
      <c r="A415" t="s">
        <v>416</v>
      </c>
      <c r="B415">
        <f>HYPERLINK("tel:07999 949 666")</f>
        <v>0</v>
      </c>
      <c r="C415" t="s">
        <v>541</v>
      </c>
      <c r="D415">
        <f>HYPERLINK("https://www.policestationreps.com/reps.php?ID=2718&amp;venue=Bolton Crown Court&amp;pocoone=QjE3IDhIRA==&amp;pocotwo=BL1 1SU")</f>
        <v>0</v>
      </c>
      <c r="E415" t="s">
        <v>545</v>
      </c>
      <c r="F415">
        <f>HYPERLINK("https://www.google.com/maps/search/Blackhorse Street, Greater Manchester BL1 1SU")</f>
        <v>0</v>
      </c>
      <c r="G415">
        <f>HYPERLINK("tel:01204 392 881")</f>
        <v>0</v>
      </c>
    </row>
    <row r="416" spans="1:7">
      <c r="A416" t="s">
        <v>417</v>
      </c>
      <c r="B416">
        <f>HYPERLINK("tel:07944 407 145")</f>
        <v>0</v>
      </c>
      <c r="C416" t="s">
        <v>541</v>
      </c>
      <c r="D416">
        <f>HYPERLINK("https://www.policestationreps.com/reps.php?ID=1321&amp;venue=Bolton Crown Court&amp;pocoone=QjMzIDlUUg==&amp;pocotwo=BL1 1SU")</f>
        <v>0</v>
      </c>
      <c r="E416" t="s">
        <v>545</v>
      </c>
      <c r="F416">
        <f>HYPERLINK("https://www.google.com/maps/search/Blackhorse Street, Greater Manchester BL1 1SU")</f>
        <v>0</v>
      </c>
      <c r="G416">
        <f>HYPERLINK("tel:01204 392 881")</f>
        <v>0</v>
      </c>
    </row>
    <row r="417" spans="1:7">
      <c r="A417" t="s">
        <v>418</v>
      </c>
      <c r="B417">
        <f>HYPERLINK("tel:07304 051 245")</f>
        <v>0</v>
      </c>
      <c r="C417" t="s">
        <v>539</v>
      </c>
      <c r="D417">
        <f>HYPERLINK("https://www.policestationreps.com/reps.php?ID=2822&amp;venue=Bolton Crown Court&amp;pocoone=QjkgNUVM&amp;pocotwo=BL1 1SU")</f>
        <v>0</v>
      </c>
      <c r="E417" t="s">
        <v>545</v>
      </c>
      <c r="F417">
        <f>HYPERLINK("https://www.google.com/maps/search/Blackhorse Street, Greater Manchester BL1 1SU")</f>
        <v>0</v>
      </c>
      <c r="G417">
        <f>HYPERLINK("tel:01204 392 881")</f>
        <v>0</v>
      </c>
    </row>
    <row r="418" spans="1:7">
      <c r="A418" t="s">
        <v>419</v>
      </c>
      <c r="B418">
        <f>HYPERLINK("tel:07984 000 002")</f>
        <v>0</v>
      </c>
      <c r="C418" t="s">
        <v>539</v>
      </c>
      <c r="D418">
        <f>HYPERLINK("https://www.policestationreps.com/reps.php?ID=1185&amp;venue=Bolton Crown Court&amp;pocoone=QjE3IDhKRw==&amp;pocotwo=BL1 1SU")</f>
        <v>0</v>
      </c>
      <c r="E418" t="s">
        <v>545</v>
      </c>
      <c r="F418">
        <f>HYPERLINK("https://www.google.com/maps/search/Blackhorse Street, Greater Manchester BL1 1SU")</f>
        <v>0</v>
      </c>
      <c r="G418">
        <f>HYPERLINK("tel:01204 392 881")</f>
        <v>0</v>
      </c>
    </row>
    <row r="419" spans="1:7">
      <c r="A419" t="s">
        <v>420</v>
      </c>
      <c r="B419">
        <f>HYPERLINK("tel:07794 412 247")</f>
        <v>0</v>
      </c>
      <c r="C419" t="s">
        <v>540</v>
      </c>
      <c r="D419">
        <f>HYPERLINK("https://www.policestationreps.com/reps.php?ID=2565&amp;venue=Bolton Crown Court&amp;pocoone=QjEwIDlOVw==&amp;pocotwo=BL1 1SU")</f>
        <v>0</v>
      </c>
      <c r="E419" t="s">
        <v>545</v>
      </c>
      <c r="F419">
        <f>HYPERLINK("https://www.google.com/maps/search/Blackhorse Street, Greater Manchester BL1 1SU")</f>
        <v>0</v>
      </c>
      <c r="G419">
        <f>HYPERLINK("tel:01204 392 881")</f>
        <v>0</v>
      </c>
    </row>
    <row r="420" spans="1:7">
      <c r="A420" t="s">
        <v>421</v>
      </c>
      <c r="B420">
        <f>HYPERLINK("tel:07969 794 943")</f>
        <v>0</v>
      </c>
      <c r="C420" t="s">
        <v>540</v>
      </c>
      <c r="D420">
        <f>HYPERLINK("https://www.policestationreps.com/reps.php?ID=1799&amp;venue=Bolton Crown Court&amp;pocoone=QjEwIDlFTA==&amp;pocotwo=BL1 1SU")</f>
        <v>0</v>
      </c>
      <c r="E420" t="s">
        <v>545</v>
      </c>
      <c r="F420">
        <f>HYPERLINK("https://www.google.com/maps/search/Blackhorse Street, Greater Manchester BL1 1SU")</f>
        <v>0</v>
      </c>
      <c r="G420">
        <f>HYPERLINK("tel:01204 392 881")</f>
        <v>0</v>
      </c>
    </row>
    <row r="421" spans="1:7">
      <c r="A421" t="s">
        <v>422</v>
      </c>
      <c r="B421">
        <f>HYPERLINK("tel:07713 945 705")</f>
        <v>0</v>
      </c>
      <c r="C421" t="s">
        <v>539</v>
      </c>
      <c r="D421">
        <f>HYPERLINK("https://www.policestationreps.com/reps.php?ID=1874&amp;venue=Bolton Crown Court&amp;pocoone=QjkgNExT&amp;pocotwo=BL1 1SU")</f>
        <v>0</v>
      </c>
      <c r="E421" t="s">
        <v>545</v>
      </c>
      <c r="F421">
        <f>HYPERLINK("https://www.google.com/maps/search/Blackhorse Street, Greater Manchester BL1 1SU")</f>
        <v>0</v>
      </c>
      <c r="G421">
        <f>HYPERLINK("tel:01204 392 881")</f>
        <v>0</v>
      </c>
    </row>
    <row r="422" spans="1:7">
      <c r="A422" t="s">
        <v>423</v>
      </c>
      <c r="B422">
        <f>HYPERLINK("tel:07849 972 474")</f>
        <v>0</v>
      </c>
      <c r="C422" t="s">
        <v>539</v>
      </c>
      <c r="D422">
        <f>HYPERLINK("https://www.policestationreps.com/reps.php?ID=1330&amp;venue=Bolton Crown Court&amp;pocoone=QjE1IDJKTA==&amp;pocotwo=BL1 1SU")</f>
        <v>0</v>
      </c>
      <c r="E422" t="s">
        <v>545</v>
      </c>
      <c r="F422">
        <f>HYPERLINK("https://www.google.com/maps/search/Blackhorse Street, Greater Manchester BL1 1SU")</f>
        <v>0</v>
      </c>
      <c r="G422">
        <f>HYPERLINK("tel:01204 392 881")</f>
        <v>0</v>
      </c>
    </row>
    <row r="423" spans="1:7">
      <c r="A423" t="s">
        <v>424</v>
      </c>
      <c r="B423">
        <f>HYPERLINK("tel:07970 717 120")</f>
        <v>0</v>
      </c>
      <c r="C423" t="s">
        <v>539</v>
      </c>
      <c r="D423">
        <f>HYPERLINK("https://www.policestationreps.com/reps.php?ID=1047&amp;venue=Bolton Crown Court&amp;pocoone=QjE3IDlBRg==&amp;pocotwo=BL1 1SU")</f>
        <v>0</v>
      </c>
      <c r="E423" t="s">
        <v>545</v>
      </c>
      <c r="F423">
        <f>HYPERLINK("https://www.google.com/maps/search/Blackhorse Street, Greater Manchester BL1 1SU")</f>
        <v>0</v>
      </c>
      <c r="G423">
        <f>HYPERLINK("tel:01204 392 881")</f>
        <v>0</v>
      </c>
    </row>
    <row r="424" spans="1:7">
      <c r="A424" t="s">
        <v>425</v>
      </c>
      <c r="B424">
        <f>HYPERLINK("tel:07855 000 741")</f>
        <v>0</v>
      </c>
      <c r="C424" t="s">
        <v>539</v>
      </c>
      <c r="D424">
        <f>HYPERLINK("https://www.policestationreps.com/reps.php?ID=1356&amp;venue=Bolton Crown Court&amp;pocoone=QjEwIDlOVw==&amp;pocotwo=BL1 1SU")</f>
        <v>0</v>
      </c>
      <c r="E424" t="s">
        <v>545</v>
      </c>
      <c r="F424">
        <f>HYPERLINK("https://www.google.com/maps/search/Blackhorse Street, Greater Manchester BL1 1SU")</f>
        <v>0</v>
      </c>
      <c r="G424">
        <f>HYPERLINK("tel:01204 392 881")</f>
        <v>0</v>
      </c>
    </row>
    <row r="425" spans="1:7">
      <c r="A425" t="s">
        <v>426</v>
      </c>
      <c r="B425">
        <f>HYPERLINK("tel:07720 842 021")</f>
        <v>0</v>
      </c>
      <c r="C425" t="s">
        <v>540</v>
      </c>
      <c r="D425">
        <f>HYPERLINK("https://www.policestationreps.com/reps.php?ID=1857&amp;venue=Bolton Crown Court&amp;pocoone=QjEwIDBFSA==&amp;pocotwo=BL1 1SU")</f>
        <v>0</v>
      </c>
      <c r="E425" t="s">
        <v>545</v>
      </c>
      <c r="F425">
        <f>HYPERLINK("https://www.google.com/maps/search/Blackhorse Street, Greater Manchester BL1 1SU")</f>
        <v>0</v>
      </c>
      <c r="G425">
        <f>HYPERLINK("tel:01204 392 881")</f>
        <v>0</v>
      </c>
    </row>
    <row r="426" spans="1:7">
      <c r="A426" t="s">
        <v>416</v>
      </c>
      <c r="B426">
        <f>HYPERLINK("tel:07989 574 440")</f>
        <v>0</v>
      </c>
      <c r="C426" t="s">
        <v>541</v>
      </c>
      <c r="D426">
        <f>HYPERLINK("https://www.policestationreps.com/reps.php?ID=1651&amp;venue=Bolton Crown Court&amp;pocoone=QjE3IDhOUg==&amp;pocotwo=BL1 1SU")</f>
        <v>0</v>
      </c>
      <c r="E426" t="s">
        <v>545</v>
      </c>
      <c r="F426">
        <f>HYPERLINK("https://www.google.com/maps/search/Blackhorse Street, Greater Manchester BL1 1SU")</f>
        <v>0</v>
      </c>
      <c r="G426">
        <f>HYPERLINK("tel:01204 392 881")</f>
        <v>0</v>
      </c>
    </row>
    <row r="427" spans="1:7">
      <c r="A427" t="s">
        <v>427</v>
      </c>
      <c r="B427">
        <f>HYPERLINK("tel:07881 248 488")</f>
        <v>0</v>
      </c>
      <c r="C427" t="s">
        <v>539</v>
      </c>
      <c r="D427">
        <f>HYPERLINK("https://www.policestationreps.com/reps.php?ID=1646&amp;venue=Bolton Crown Court&amp;pocoone=QjEwIDlMUA==&amp;pocotwo=BL1 1SU")</f>
        <v>0</v>
      </c>
      <c r="E427" t="s">
        <v>545</v>
      </c>
      <c r="F427">
        <f>HYPERLINK("https://www.google.com/maps/search/Blackhorse Street, Greater Manchester BL1 1SU")</f>
        <v>0</v>
      </c>
      <c r="G427">
        <f>HYPERLINK("tel:01204 392 881")</f>
        <v>0</v>
      </c>
    </row>
    <row r="428" spans="1:7">
      <c r="A428" t="s">
        <v>428</v>
      </c>
      <c r="B428">
        <f>HYPERLINK("tel:07936 818 324")</f>
        <v>0</v>
      </c>
      <c r="C428" t="s">
        <v>541</v>
      </c>
      <c r="D428">
        <f>HYPERLINK("https://www.policestationreps.com/reps.php?ID=641&amp;venue=Bolton Crown Court&amp;pocoone=QjE3IDhQWA==&amp;pocotwo=BL1 1SU")</f>
        <v>0</v>
      </c>
      <c r="E428" t="s">
        <v>545</v>
      </c>
      <c r="F428">
        <f>HYPERLINK("https://www.google.com/maps/search/Blackhorse Street, Greater Manchester BL1 1SU")</f>
        <v>0</v>
      </c>
      <c r="G428">
        <f>HYPERLINK("tel:01204 392 881")</f>
        <v>0</v>
      </c>
    </row>
    <row r="429" spans="1:7">
      <c r="A429" t="s">
        <v>429</v>
      </c>
      <c r="B429">
        <f>HYPERLINK("tel:07796 000 096")</f>
        <v>0</v>
      </c>
      <c r="C429" t="s">
        <v>540</v>
      </c>
      <c r="D429">
        <f>HYPERLINK("https://www.policestationreps.com/reps.php?ID=243&amp;venue=Bolton Crown Court&amp;pocoone=QjEwIDlRWg==&amp;pocotwo=BL1 1SU")</f>
        <v>0</v>
      </c>
      <c r="E429" t="s">
        <v>545</v>
      </c>
      <c r="F429">
        <f>HYPERLINK("https://www.google.com/maps/search/Blackhorse Street, Greater Manchester BL1 1SU")</f>
        <v>0</v>
      </c>
      <c r="G429">
        <f>HYPERLINK("tel:01204 392 881")</f>
        <v>0</v>
      </c>
    </row>
    <row r="430" spans="1:7">
      <c r="A430" t="s">
        <v>430</v>
      </c>
      <c r="B430">
        <f>HYPERLINK("tel:07424 422 959")</f>
        <v>0</v>
      </c>
      <c r="C430" t="s">
        <v>539</v>
      </c>
      <c r="D430">
        <f>HYPERLINK("https://www.policestationreps.com/reps.php?ID=2876&amp;venue=Bolton Crown Court&amp;pocoone=QjkgNUpF&amp;pocotwo=BL1 1SU")</f>
        <v>0</v>
      </c>
      <c r="E430" t="s">
        <v>545</v>
      </c>
      <c r="F430">
        <f>HYPERLINK("https://www.google.com/maps/search/Blackhorse Street, Greater Manchester BL1 1SU")</f>
        <v>0</v>
      </c>
      <c r="G430">
        <f>HYPERLINK("tel:01204 392 881")</f>
        <v>0</v>
      </c>
    </row>
    <row r="431" spans="1:7">
      <c r="A431" t="s">
        <v>431</v>
      </c>
      <c r="B431">
        <f>HYPERLINK("tel:07772 599 238")</f>
        <v>0</v>
      </c>
      <c r="C431" t="s">
        <v>539</v>
      </c>
      <c r="D431">
        <f>HYPERLINK("https://www.policestationreps.com/reps.php?ID=1655&amp;venue=Bolton Crown Court&amp;pocoone=QjkgNUVU&amp;pocotwo=BL1 1SU")</f>
        <v>0</v>
      </c>
      <c r="E431" t="s">
        <v>545</v>
      </c>
      <c r="F431">
        <f>HYPERLINK("https://www.google.com/maps/search/Blackhorse Street, Greater Manchester BL1 1SU")</f>
        <v>0</v>
      </c>
      <c r="G431">
        <f>HYPERLINK("tel:01204 392 881")</f>
        <v>0</v>
      </c>
    </row>
    <row r="432" spans="1:7">
      <c r="A432" t="s">
        <v>432</v>
      </c>
      <c r="B432">
        <f>HYPERLINK("tel:07983 628 651")</f>
        <v>0</v>
      </c>
      <c r="C432" t="s">
        <v>539</v>
      </c>
      <c r="D432">
        <f>HYPERLINK("https://www.policestationreps.com/reps.php?ID=56&amp;venue=Bolton Crown Court&amp;pocoone=QjEyIDBSTA==&amp;pocotwo=BL1 1SU")</f>
        <v>0</v>
      </c>
      <c r="E432" t="s">
        <v>545</v>
      </c>
      <c r="F432">
        <f>HYPERLINK("https://www.google.com/maps/search/Blackhorse Street, Greater Manchester BL1 1SU")</f>
        <v>0</v>
      </c>
      <c r="G432">
        <f>HYPERLINK("tel:01204 392 881")</f>
        <v>0</v>
      </c>
    </row>
    <row r="433" spans="1:7">
      <c r="A433" t="s">
        <v>433</v>
      </c>
      <c r="B433">
        <f>HYPERLINK("tel:07971 728 132")</f>
        <v>0</v>
      </c>
      <c r="C433" t="s">
        <v>539</v>
      </c>
      <c r="D433">
        <f>HYPERLINK("https://www.policestationreps.com/reps.php?ID=940&amp;venue=Bolton Crown Court&amp;pocoone=VFM1IDVQVw==&amp;pocotwo=BL1 1SU")</f>
        <v>0</v>
      </c>
      <c r="E433" t="s">
        <v>545</v>
      </c>
      <c r="F433">
        <f>HYPERLINK("https://www.google.com/maps/search/Blackhorse Street, Greater Manchester BL1 1SU")</f>
        <v>0</v>
      </c>
      <c r="G433">
        <f>HYPERLINK("tel:01204 392 881")</f>
        <v>0</v>
      </c>
    </row>
    <row r="434" spans="1:7">
      <c r="A434" t="s">
        <v>434</v>
      </c>
      <c r="B434">
        <f>HYPERLINK("tel:07969 238 614")</f>
        <v>0</v>
      </c>
      <c r="C434" t="s">
        <v>539</v>
      </c>
      <c r="D434">
        <f>HYPERLINK("https://www.policestationreps.com/reps.php?ID=205&amp;venue=Bolton Crown Court&amp;pocoone=QjI1IDhBRA==&amp;pocotwo=BL1 1SU")</f>
        <v>0</v>
      </c>
      <c r="E434" t="s">
        <v>545</v>
      </c>
      <c r="F434">
        <f>HYPERLINK("https://www.google.com/maps/search/Blackhorse Street, Greater Manchester BL1 1SU")</f>
        <v>0</v>
      </c>
      <c r="G434">
        <f>HYPERLINK("tel:01204 392 881")</f>
        <v>0</v>
      </c>
    </row>
    <row r="435" spans="1:7">
      <c r="A435" t="s">
        <v>435</v>
      </c>
      <c r="B435">
        <f>HYPERLINK("tel:07718 903 637")</f>
        <v>0</v>
      </c>
      <c r="C435" t="s">
        <v>539</v>
      </c>
      <c r="D435">
        <f>HYPERLINK("https://www.policestationreps.com/reps.php?ID=1497&amp;venue=Bolton Crown Court&amp;pocoone=U1kxNiAyTlQ=&amp;pocotwo=BL1 1SU")</f>
        <v>0</v>
      </c>
      <c r="E435" t="s">
        <v>545</v>
      </c>
      <c r="F435">
        <f>HYPERLINK("https://www.google.com/maps/search/Blackhorse Street, Greater Manchester BL1 1SU")</f>
        <v>0</v>
      </c>
      <c r="G435">
        <f>HYPERLINK("tel:01204 392 881")</f>
        <v>0</v>
      </c>
    </row>
    <row r="436" spans="1:7">
      <c r="A436" t="s">
        <v>436</v>
      </c>
      <c r="B436">
        <f>HYPERLINK("tel:07904 067 171")</f>
        <v>0</v>
      </c>
      <c r="C436" t="s">
        <v>539</v>
      </c>
      <c r="D436">
        <f>HYPERLINK("https://www.policestationreps.com/reps.php?ID=1604&amp;venue=Bolton Crown Court&amp;pocoone=QjI1IDhUSg==&amp;pocotwo=BL1 1SU")</f>
        <v>0</v>
      </c>
      <c r="E436" t="s">
        <v>545</v>
      </c>
      <c r="F436">
        <f>HYPERLINK("https://www.google.com/maps/search/Blackhorse Street, Greater Manchester BL1 1SU")</f>
        <v>0</v>
      </c>
      <c r="G436">
        <f>HYPERLINK("tel:01204 392 881")</f>
        <v>0</v>
      </c>
    </row>
    <row r="437" spans="1:7">
      <c r="A437" t="s">
        <v>437</v>
      </c>
      <c r="B437">
        <f>HYPERLINK("tel:07702 704 099")</f>
        <v>0</v>
      </c>
      <c r="C437" t="s">
        <v>539</v>
      </c>
      <c r="D437">
        <f>HYPERLINK("https://www.policestationreps.com/reps.php?ID=58&amp;venue=Bolton Crown Court&amp;pocoone=QjEzIDBQWQ==&amp;pocotwo=BL1 1SU")</f>
        <v>0</v>
      </c>
      <c r="E437" t="s">
        <v>545</v>
      </c>
      <c r="F437">
        <f>HYPERLINK("https://www.google.com/maps/search/Blackhorse Street, Greater Manchester BL1 1SU")</f>
        <v>0</v>
      </c>
      <c r="G437">
        <f>HYPERLINK("tel:01204 392 881")</f>
        <v>0</v>
      </c>
    </row>
    <row r="438" spans="1:7">
      <c r="A438" t="s">
        <v>438</v>
      </c>
      <c r="B438">
        <f>HYPERLINK("tel:07944 333 858")</f>
        <v>0</v>
      </c>
      <c r="C438" t="s">
        <v>539</v>
      </c>
      <c r="D438">
        <f>HYPERLINK("https://www.policestationreps.com/reps.php?ID=2404&amp;venue=Bolton Crown Court&amp;pocoone=QjEzIDhSUw==&amp;pocotwo=BL1 1SU")</f>
        <v>0</v>
      </c>
      <c r="E438" t="s">
        <v>545</v>
      </c>
      <c r="F438">
        <f>HYPERLINK("https://www.google.com/maps/search/Blackhorse Street, Greater Manchester BL1 1SU")</f>
        <v>0</v>
      </c>
      <c r="G438">
        <f>HYPERLINK("tel:01204 392 881")</f>
        <v>0</v>
      </c>
    </row>
    <row r="439" spans="1:7">
      <c r="A439" t="s">
        <v>439</v>
      </c>
      <c r="B439">
        <f>HYPERLINK("tel:07801 991 387")</f>
        <v>0</v>
      </c>
      <c r="C439" t="s">
        <v>539</v>
      </c>
      <c r="D439">
        <f>HYPERLINK("https://www.policestationreps.com/reps.php?ID=1297&amp;venue=Bolton Crown Court&amp;pocoone=QjEzIDlMSg==&amp;pocotwo=BL1 1SU")</f>
        <v>0</v>
      </c>
      <c r="E439" t="s">
        <v>545</v>
      </c>
      <c r="F439">
        <f>HYPERLINK("https://www.google.com/maps/search/Blackhorse Street, Greater Manchester BL1 1SU")</f>
        <v>0</v>
      </c>
      <c r="G439">
        <f>HYPERLINK("tel:01204 392 881")</f>
        <v>0</v>
      </c>
    </row>
    <row r="440" spans="1:7">
      <c r="A440" t="s">
        <v>440</v>
      </c>
      <c r="B440">
        <f>HYPERLINK("tel:07815 684 585")</f>
        <v>0</v>
      </c>
      <c r="C440" t="s">
        <v>541</v>
      </c>
      <c r="D440">
        <f>HYPERLINK("https://www.policestationreps.com/reps.php?ID=2872&amp;venue=Bolton Crown Court&amp;pocoone=VFMyMSAzTkw=&amp;pocotwo=BL1 1SU")</f>
        <v>0</v>
      </c>
      <c r="E440" t="s">
        <v>545</v>
      </c>
      <c r="F440">
        <f>HYPERLINK("https://www.google.com/maps/search/Blackhorse Street, Greater Manchester BL1 1SU")</f>
        <v>0</v>
      </c>
      <c r="G440">
        <f>HYPERLINK("tel:01204 392 881")</f>
        <v>0</v>
      </c>
    </row>
    <row r="441" spans="1:7">
      <c r="A441" t="s">
        <v>441</v>
      </c>
      <c r="B441">
        <f>HYPERLINK("tel:07591 810 678")</f>
        <v>0</v>
      </c>
      <c r="C441" t="s">
        <v>542</v>
      </c>
      <c r="D441">
        <f>HYPERLINK("https://www.policestationreps.com/reps.php?ID=2487&amp;venue=Bolton Crown Court&amp;pocoone=QjEzIDhOSg==&amp;pocotwo=BL1 1SU")</f>
        <v>0</v>
      </c>
      <c r="E441" t="s">
        <v>545</v>
      </c>
      <c r="F441">
        <f>HYPERLINK("https://www.google.com/maps/search/Blackhorse Street, Greater Manchester BL1 1SU")</f>
        <v>0</v>
      </c>
      <c r="G441">
        <f>HYPERLINK("tel:01204 392 881")</f>
        <v>0</v>
      </c>
    </row>
    <row r="442" spans="1:7">
      <c r="A442" t="s">
        <v>442</v>
      </c>
      <c r="B442">
        <f>HYPERLINK("tel:07891 119 963")</f>
        <v>0</v>
      </c>
      <c r="C442" t="s">
        <v>539</v>
      </c>
      <c r="D442">
        <f>HYPERLINK("https://www.policestationreps.com/reps.php?ID=2778&amp;venue=Bolton Crown Court&amp;pocoone=SFUxMyA5SEo=&amp;pocotwo=BL1 1SU")</f>
        <v>0</v>
      </c>
      <c r="E442" t="s">
        <v>545</v>
      </c>
      <c r="F442">
        <f>HYPERLINK("https://www.google.com/maps/search/Blackhorse Street, Greater Manchester BL1 1SU")</f>
        <v>0</v>
      </c>
      <c r="G442">
        <f>HYPERLINK("tel:01204 392 881")</f>
        <v>0</v>
      </c>
    </row>
    <row r="443" spans="1:7">
      <c r="A443" t="s">
        <v>443</v>
      </c>
      <c r="B443">
        <f>HYPERLINK("tel:07855 817 798")</f>
        <v>0</v>
      </c>
      <c r="C443" t="s">
        <v>539</v>
      </c>
      <c r="D443">
        <f>HYPERLINK("https://www.policestationreps.com/reps.php?ID=1069&amp;venue=Bolton Crown Court&amp;pocoone=QjEzIDlYTA==&amp;pocotwo=BL1 1SU")</f>
        <v>0</v>
      </c>
      <c r="E443" t="s">
        <v>545</v>
      </c>
      <c r="F443">
        <f>HYPERLINK("https://www.google.com/maps/search/Blackhorse Street, Greater Manchester BL1 1SU")</f>
        <v>0</v>
      </c>
      <c r="G443">
        <f>HYPERLINK("tel:01204 392 881")</f>
        <v>0</v>
      </c>
    </row>
    <row r="444" spans="1:7">
      <c r="A444" t="s">
        <v>444</v>
      </c>
      <c r="B444">
        <f>HYPERLINK("tel:07947 618 288")</f>
        <v>0</v>
      </c>
      <c r="C444" t="s">
        <v>539</v>
      </c>
      <c r="D444">
        <f>HYPERLINK("https://www.policestationreps.com/reps.php?ID=2222&amp;venue=Bolton Crown Court&amp;pocoone=Q1YxMCAwTlo=&amp;pocotwo=BL1 1SU")</f>
        <v>0</v>
      </c>
      <c r="E444" t="s">
        <v>545</v>
      </c>
      <c r="F444">
        <f>HYPERLINK("https://www.google.com/maps/search/Blackhorse Street, Greater Manchester BL1 1SU")</f>
        <v>0</v>
      </c>
      <c r="G444">
        <f>HYPERLINK("tel:01204 392 881")</f>
        <v>0</v>
      </c>
    </row>
    <row r="445" spans="1:7">
      <c r="A445" t="s">
        <v>445</v>
      </c>
      <c r="B445">
        <f>HYPERLINK("tel:07969 794 226")</f>
        <v>0</v>
      </c>
      <c r="C445" t="s">
        <v>539</v>
      </c>
      <c r="D445">
        <f>HYPERLINK("https://www.policestationreps.com/reps.php?ID=1554&amp;venue=Bolton Crown Court&amp;pocoone=QjI4IDhSTg==&amp;pocotwo=BL1 1SU")</f>
        <v>0</v>
      </c>
      <c r="E445" t="s">
        <v>545</v>
      </c>
      <c r="F445">
        <f>HYPERLINK("https://www.google.com/maps/search/Blackhorse Street, Greater Manchester BL1 1SU")</f>
        <v>0</v>
      </c>
      <c r="G445">
        <f>HYPERLINK("tel:01204 392 881")</f>
        <v>0</v>
      </c>
    </row>
    <row r="446" spans="1:7">
      <c r="A446" t="s">
        <v>446</v>
      </c>
      <c r="B446">
        <f>HYPERLINK("tel:07561 463 008")</f>
        <v>0</v>
      </c>
      <c r="C446" t="s">
        <v>539</v>
      </c>
      <c r="D446">
        <f>HYPERLINK("https://www.policestationreps.com/reps.php?ID=2472&amp;venue=Bolton Crown Court&amp;pocoone=QjkyIDhOQg==&amp;pocotwo=BL1 1SU")</f>
        <v>0</v>
      </c>
      <c r="E446" t="s">
        <v>545</v>
      </c>
      <c r="F446">
        <f>HYPERLINK("https://www.google.com/maps/search/Blackhorse Street, Greater Manchester BL1 1SU")</f>
        <v>0</v>
      </c>
      <c r="G446">
        <f>HYPERLINK("tel:01204 392 881")</f>
        <v>0</v>
      </c>
    </row>
    <row r="447" spans="1:7">
      <c r="A447" t="s">
        <v>447</v>
      </c>
      <c r="B447">
        <f>HYPERLINK("tel:07983 838 991")</f>
        <v>0</v>
      </c>
      <c r="C447" t="s">
        <v>540</v>
      </c>
      <c r="D447">
        <f>HYPERLINK("https://www.policestationreps.com/reps.php?ID=2465&amp;venue=Bolton Crown Court&amp;pocoone=VFMxIDJFUw==&amp;pocotwo=BL1 1SU")</f>
        <v>0</v>
      </c>
      <c r="E447" t="s">
        <v>545</v>
      </c>
      <c r="F447">
        <f>HYPERLINK("https://www.google.com/maps/search/Blackhorse Street, Greater Manchester BL1 1SU")</f>
        <v>0</v>
      </c>
      <c r="G447">
        <f>HYPERLINK("tel:01204 392 881")</f>
        <v>0</v>
      </c>
    </row>
    <row r="448" spans="1:7">
      <c r="A448" t="s">
        <v>448</v>
      </c>
      <c r="B448">
        <f>HYPERLINK("tel:07966 044 921")</f>
        <v>0</v>
      </c>
      <c r="C448" t="s">
        <v>539</v>
      </c>
      <c r="D448">
        <f>HYPERLINK("https://www.policestationreps.com/reps.php?ID=76&amp;venue=Bolton Crown Court&amp;pocoone=QjI4IDBVRw==&amp;pocotwo=BL1 1SU")</f>
        <v>0</v>
      </c>
      <c r="E448" t="s">
        <v>545</v>
      </c>
      <c r="F448">
        <f>HYPERLINK("https://www.google.com/maps/search/Blackhorse Street, Greater Manchester BL1 1SU")</f>
        <v>0</v>
      </c>
      <c r="G448">
        <f>HYPERLINK("tel:01204 392 881")</f>
        <v>0</v>
      </c>
    </row>
    <row r="449" spans="1:7">
      <c r="A449" t="s">
        <v>449</v>
      </c>
      <c r="B449">
        <f>HYPERLINK("tel:07951 463 770")</f>
        <v>0</v>
      </c>
      <c r="C449" t="s">
        <v>539</v>
      </c>
      <c r="D449">
        <f>HYPERLINK("https://www.policestationreps.com/reps.php?ID=1673&amp;venue=Bolton Crown Court&amp;pocoone=QjI4IDBQSA==&amp;pocotwo=BL1 1SU")</f>
        <v>0</v>
      </c>
      <c r="E449" t="s">
        <v>545</v>
      </c>
      <c r="F449">
        <f>HYPERLINK("https://www.google.com/maps/search/Blackhorse Street, Greater Manchester BL1 1SU")</f>
        <v>0</v>
      </c>
      <c r="G449">
        <f>HYPERLINK("tel:01204 392 881")</f>
        <v>0</v>
      </c>
    </row>
    <row r="450" spans="1:7">
      <c r="A450" t="s">
        <v>450</v>
      </c>
      <c r="B450">
        <f>HYPERLINK("tel:07949 186 589")</f>
        <v>0</v>
      </c>
      <c r="C450" t="s">
        <v>540</v>
      </c>
      <c r="D450">
        <f>HYPERLINK("https://www.policestationreps.com/reps.php?ID=2463&amp;venue=Bolton Crown Court&amp;pocoone=VFMxIDJFUw==&amp;pocotwo=BL1 1SU")</f>
        <v>0</v>
      </c>
      <c r="E450" t="s">
        <v>545</v>
      </c>
      <c r="F450">
        <f>HYPERLINK("https://www.google.com/maps/search/Blackhorse Street, Greater Manchester BL1 1SU")</f>
        <v>0</v>
      </c>
      <c r="G450">
        <f>HYPERLINK("tel:01204 392 881")</f>
        <v>0</v>
      </c>
    </row>
    <row r="451" spans="1:7">
      <c r="A451" t="s">
        <v>451</v>
      </c>
      <c r="B451">
        <f>HYPERLINK("tel:07900 484 302")</f>
        <v>0</v>
      </c>
      <c r="C451" t="s">
        <v>540</v>
      </c>
      <c r="D451">
        <f>HYPERLINK("https://www.policestationreps.com/reps.php?ID=945&amp;venue=Bolton Crown Court&amp;pocoone=QjI4IDBFUQ==&amp;pocotwo=BL1 1SU")</f>
        <v>0</v>
      </c>
      <c r="E451" t="s">
        <v>545</v>
      </c>
      <c r="F451">
        <f>HYPERLINK("https://www.google.com/maps/search/Blackhorse Street, Greater Manchester BL1 1SU")</f>
        <v>0</v>
      </c>
      <c r="G451">
        <f>HYPERLINK("tel:01204 392 881")</f>
        <v>0</v>
      </c>
    </row>
    <row r="452" spans="1:7">
      <c r="A452" t="s">
        <v>452</v>
      </c>
      <c r="B452">
        <f>HYPERLINK("tel:07360 004 079")</f>
        <v>0</v>
      </c>
      <c r="C452" t="s">
        <v>539</v>
      </c>
      <c r="D452">
        <f>HYPERLINK("https://www.policestationreps.com/reps.php?ID=2844&amp;venue=Bolton Crown Court&amp;pocoone=TEU0IDlGRQ==&amp;pocotwo=BL1 1SU")</f>
        <v>0</v>
      </c>
      <c r="E452" t="s">
        <v>545</v>
      </c>
      <c r="F452">
        <f>HYPERLINK("https://www.google.com/maps/search/Blackhorse Street, Greater Manchester BL1 1SU")</f>
        <v>0</v>
      </c>
      <c r="G452">
        <f>HYPERLINK("tel:01204 392 881")</f>
        <v>0</v>
      </c>
    </row>
    <row r="453" spans="1:7">
      <c r="A453" t="s">
        <v>453</v>
      </c>
      <c r="B453">
        <f>HYPERLINK("tel:07956 446 901")</f>
        <v>0</v>
      </c>
      <c r="C453" t="s">
        <v>539</v>
      </c>
      <c r="D453">
        <f>HYPERLINK("https://www.policestationreps.com/reps.php?ID=2799&amp;venue=Bolton Crown Court&amp;pocoone=QjI4IDlQRQ==&amp;pocotwo=BL1 1SU")</f>
        <v>0</v>
      </c>
      <c r="E453" t="s">
        <v>545</v>
      </c>
      <c r="F453">
        <f>HYPERLINK("https://www.google.com/maps/search/Blackhorse Street, Greater Manchester BL1 1SU")</f>
        <v>0</v>
      </c>
      <c r="G453">
        <f>HYPERLINK("tel:01204 392 881")</f>
        <v>0</v>
      </c>
    </row>
    <row r="454" spans="1:7">
      <c r="A454" t="s">
        <v>367</v>
      </c>
      <c r="B454">
        <f>HYPERLINK("tel:07790 277 857")</f>
        <v>0</v>
      </c>
      <c r="C454" t="s">
        <v>540</v>
      </c>
      <c r="D454">
        <f>HYPERLINK("https://www.policestationreps.com/reps.php?ID=1816&amp;venue=Bolton Crown Court&amp;pocoone=QjkyIDdRVQ==&amp;pocotwo=BL1 1SU")</f>
        <v>0</v>
      </c>
      <c r="E454" t="s">
        <v>545</v>
      </c>
      <c r="F454">
        <f>HYPERLINK("https://www.google.com/maps/search/Blackhorse Street, Greater Manchester BL1 1SU")</f>
        <v>0</v>
      </c>
      <c r="G454">
        <f>HYPERLINK("tel:01204 392 881")</f>
        <v>0</v>
      </c>
    </row>
    <row r="455" spans="1:7">
      <c r="A455" t="s">
        <v>454</v>
      </c>
      <c r="B455">
        <f>HYPERLINK("tel:07855 235 896")</f>
        <v>0</v>
      </c>
      <c r="C455" t="s">
        <v>540</v>
      </c>
      <c r="D455">
        <f>HYPERLINK("https://www.policestationreps.com/reps.php?ID=2508&amp;venue=Bolton Crown Court&amp;pocoone=TEU0IDZRUg==&amp;pocotwo=BL1 1SU")</f>
        <v>0</v>
      </c>
      <c r="E455" t="s">
        <v>545</v>
      </c>
      <c r="F455">
        <f>HYPERLINK("https://www.google.com/maps/search/Blackhorse Street, Greater Manchester BL1 1SU")</f>
        <v>0</v>
      </c>
      <c r="G455">
        <f>HYPERLINK("tel:01204 392 881")</f>
        <v>0</v>
      </c>
    </row>
    <row r="456" spans="1:7">
      <c r="A456" t="s">
        <v>455</v>
      </c>
      <c r="B456">
        <f>HYPERLINK("tel:07788 467 259")</f>
        <v>0</v>
      </c>
      <c r="C456" t="s">
        <v>539</v>
      </c>
      <c r="D456">
        <f>HYPERLINK("https://www.policestationreps.com/reps.php?ID=2032&amp;venue=Bolton Crown Court&amp;pocoone=QjI4IDhSTg==&amp;pocotwo=BL1 1SU")</f>
        <v>0</v>
      </c>
      <c r="E456" t="s">
        <v>545</v>
      </c>
      <c r="F456">
        <f>HYPERLINK("https://www.google.com/maps/search/Blackhorse Street, Greater Manchester BL1 1SU")</f>
        <v>0</v>
      </c>
      <c r="G456">
        <f>HYPERLINK("tel:01204 392 881")</f>
        <v>0</v>
      </c>
    </row>
    <row r="457" spans="1:7">
      <c r="A457" t="s">
        <v>456</v>
      </c>
      <c r="B457">
        <f>HYPERLINK("tel:07772 283 079")</f>
        <v>0</v>
      </c>
      <c r="C457" t="s">
        <v>539</v>
      </c>
      <c r="D457">
        <f>HYPERLINK("https://www.policestationreps.com/reps.php?ID=2790&amp;venue=Bolton Crown Court&amp;pocoone=SFU0IDZVRw==&amp;pocotwo=BL1 1SU")</f>
        <v>0</v>
      </c>
      <c r="E457" t="s">
        <v>545</v>
      </c>
      <c r="F457">
        <f>HYPERLINK("https://www.google.com/maps/search/Blackhorse Street, Greater Manchester BL1 1SU")</f>
        <v>0</v>
      </c>
      <c r="G457">
        <f>HYPERLINK("tel:01204 392 881")</f>
        <v>0</v>
      </c>
    </row>
    <row r="458" spans="1:7">
      <c r="A458" t="s">
        <v>457</v>
      </c>
      <c r="B458">
        <f>HYPERLINK("tel:07983 839 001")</f>
        <v>0</v>
      </c>
      <c r="C458" t="s">
        <v>539</v>
      </c>
      <c r="D458">
        <f>HYPERLINK("https://www.policestationreps.com/reps.php?ID=2464&amp;venue=Bolton Crown Court&amp;pocoone=VFMxIDJFUw==&amp;pocotwo=BL1 1SU")</f>
        <v>0</v>
      </c>
      <c r="E458" t="s">
        <v>545</v>
      </c>
      <c r="F458">
        <f>HYPERLINK("https://www.google.com/maps/search/Blackhorse Street, Greater Manchester BL1 1SU")</f>
        <v>0</v>
      </c>
      <c r="G458">
        <f>HYPERLINK("tel:01204 392 881")</f>
        <v>0</v>
      </c>
    </row>
    <row r="459" spans="1:7">
      <c r="A459" t="s">
        <v>458</v>
      </c>
      <c r="B459">
        <f>HYPERLINK("tel:07305 500 824")</f>
        <v>0</v>
      </c>
      <c r="C459" t="s">
        <v>541</v>
      </c>
      <c r="D459">
        <f>HYPERLINK("https://www.policestationreps.com/reps.php?ID=2166&amp;venue=Bolton Crown Court&amp;pocoone=TEU0IDBGSA==&amp;pocotwo=BL1 1SU")</f>
        <v>0</v>
      </c>
      <c r="E459" t="s">
        <v>545</v>
      </c>
      <c r="F459">
        <f>HYPERLINK("https://www.google.com/maps/search/Blackhorse Street, Greater Manchester BL1 1SU")</f>
        <v>0</v>
      </c>
      <c r="G459">
        <f>HYPERLINK("tel:01204 392 881")</f>
        <v>0</v>
      </c>
    </row>
    <row r="460" spans="1:7">
      <c r="A460" t="s">
        <v>459</v>
      </c>
      <c r="B460">
        <f>HYPERLINK("tel:07530 680 127")</f>
        <v>0</v>
      </c>
      <c r="C460" t="s">
        <v>539</v>
      </c>
      <c r="D460">
        <f>HYPERLINK("https://www.policestationreps.com/reps.php?ID=1426&amp;venue=Bolton Crown Court&amp;pocoone=RFkxMSA2U1A=&amp;pocotwo=BL1 1SU")</f>
        <v>0</v>
      </c>
      <c r="E460" t="s">
        <v>545</v>
      </c>
      <c r="F460">
        <f>HYPERLINK("https://www.google.com/maps/search/Blackhorse Street, Greater Manchester BL1 1SU")</f>
        <v>0</v>
      </c>
      <c r="G460">
        <f>HYPERLINK("tel:01204 392 881")</f>
        <v>0</v>
      </c>
    </row>
    <row r="461" spans="1:7">
      <c r="A461" t="s">
        <v>460</v>
      </c>
      <c r="B461">
        <f>HYPERLINK("tel:07787 150 153")</f>
        <v>0</v>
      </c>
      <c r="C461" t="s">
        <v>540</v>
      </c>
      <c r="D461">
        <f>HYPERLINK("https://www.policestationreps.com/reps.php?ID=2070&amp;venue=Bolton Crown Court&amp;pocoone=TEU5IDlQWA==&amp;pocotwo=BL1 1SU")</f>
        <v>0</v>
      </c>
      <c r="E461" t="s">
        <v>545</v>
      </c>
      <c r="F461">
        <f>HYPERLINK("https://www.google.com/maps/search/Blackhorse Street, Greater Manchester BL1 1SU")</f>
        <v>0</v>
      </c>
      <c r="G461">
        <f>HYPERLINK("tel:01204 392 881")</f>
        <v>0</v>
      </c>
    </row>
    <row r="462" spans="1:7">
      <c r="A462" t="s">
        <v>461</v>
      </c>
      <c r="B462">
        <f>HYPERLINK("tel:07575 204 162")</f>
        <v>0</v>
      </c>
      <c r="C462" t="s">
        <v>540</v>
      </c>
      <c r="D462">
        <f>HYPERLINK("https://www.policestationreps.com/reps.php?ID=2354&amp;venue=Bolton Crown Court&amp;pocoone=TEUzIDJVUA==&amp;pocotwo=BL1 1SU")</f>
        <v>0</v>
      </c>
      <c r="E462" t="s">
        <v>545</v>
      </c>
      <c r="F462">
        <f>HYPERLINK("https://www.google.com/maps/search/Blackhorse Street, Greater Manchester BL1 1SU")</f>
        <v>0</v>
      </c>
      <c r="G462">
        <f>HYPERLINK("tel:01204 392 881")</f>
        <v>0</v>
      </c>
    </row>
    <row r="463" spans="1:7">
      <c r="A463" t="s">
        <v>462</v>
      </c>
      <c r="B463">
        <f>HYPERLINK("tel:07540 796 608")</f>
        <v>0</v>
      </c>
      <c r="C463" t="s">
        <v>539</v>
      </c>
      <c r="D463">
        <f>HYPERLINK("https://www.policestationreps.com/reps.php?ID=1517&amp;venue=Bolton Crown Court&amp;pocoone=QjM4IDhQVw==&amp;pocotwo=BL1 1SU")</f>
        <v>0</v>
      </c>
      <c r="E463" t="s">
        <v>545</v>
      </c>
      <c r="F463">
        <f>HYPERLINK("https://www.google.com/maps/search/Blackhorse Street, Greater Manchester BL1 1SU")</f>
        <v>0</v>
      </c>
      <c r="G463">
        <f>HYPERLINK("tel:01204 392 881")</f>
        <v>0</v>
      </c>
    </row>
    <row r="464" spans="1:7">
      <c r="A464" t="s">
        <v>463</v>
      </c>
      <c r="B464">
        <f>HYPERLINK("tel:07985 535 303")</f>
        <v>0</v>
      </c>
      <c r="C464" t="s">
        <v>539</v>
      </c>
      <c r="D464">
        <f>HYPERLINK("https://www.policestationreps.com/reps.php?ID=489&amp;venue=Bolton Crown Court&amp;pocoone=TEUxNCA0Slc=&amp;pocotwo=BL1 1SU")</f>
        <v>0</v>
      </c>
      <c r="E464" t="s">
        <v>545</v>
      </c>
      <c r="F464">
        <f>HYPERLINK("https://www.google.com/maps/search/Blackhorse Street, Greater Manchester BL1 1SU")</f>
        <v>0</v>
      </c>
      <c r="G464">
        <f>HYPERLINK("tel:01204 392 881")</f>
        <v>0</v>
      </c>
    </row>
    <row r="465" spans="1:7">
      <c r="A465" t="s">
        <v>464</v>
      </c>
      <c r="B465">
        <f>HYPERLINK("tel:07792 743 776")</f>
        <v>0</v>
      </c>
      <c r="C465" t="s">
        <v>539</v>
      </c>
      <c r="D465">
        <f>HYPERLINK("https://www.policestationreps.com/reps.php?ID=1282&amp;venue=Bolton Crown Court&amp;pocoone=QjkwIDJEWQ==&amp;pocotwo=BL1 1SU")</f>
        <v>0</v>
      </c>
      <c r="E465" t="s">
        <v>545</v>
      </c>
      <c r="F465">
        <f>HYPERLINK("https://www.google.com/maps/search/Blackhorse Street, Greater Manchester BL1 1SU")</f>
        <v>0</v>
      </c>
      <c r="G465">
        <f>HYPERLINK("tel:01204 392 881")</f>
        <v>0</v>
      </c>
    </row>
    <row r="466" spans="1:7">
      <c r="A466" t="s">
        <v>465</v>
      </c>
      <c r="B466">
        <f>HYPERLINK("tel:07807 096 110")</f>
        <v>0</v>
      </c>
      <c r="C466" t="s">
        <v>539</v>
      </c>
      <c r="D466">
        <f>HYPERLINK("https://www.policestationreps.com/reps.php?ID=1872&amp;venue=Bolton Crown Court&amp;pocoone=YjkxIDNydA==&amp;pocotwo=BL1 1SU")</f>
        <v>0</v>
      </c>
      <c r="E466" t="s">
        <v>545</v>
      </c>
      <c r="F466">
        <f>HYPERLINK("https://www.google.com/maps/search/Blackhorse Street, Greater Manchester BL1 1SU")</f>
        <v>0</v>
      </c>
      <c r="G466">
        <f>HYPERLINK("tel:01204 392 881")</f>
        <v>0</v>
      </c>
    </row>
    <row r="467" spans="1:7">
      <c r="A467" t="s">
        <v>466</v>
      </c>
      <c r="B467">
        <f>HYPERLINK("tel:01162 620 290")</f>
        <v>0</v>
      </c>
      <c r="C467" t="s">
        <v>540</v>
      </c>
      <c r="D467">
        <f>HYPERLINK("https://www.policestationreps.com/reps.php?ID=32&amp;venue=Bolton Crown Court&amp;pocoone=TEUxIDVRUQ==&amp;pocotwo=BL1 1SU")</f>
        <v>0</v>
      </c>
      <c r="E467" t="s">
        <v>545</v>
      </c>
      <c r="F467">
        <f>HYPERLINK("https://www.google.com/maps/search/Blackhorse Street, Greater Manchester BL1 1SU")</f>
        <v>0</v>
      </c>
      <c r="G467">
        <f>HYPERLINK("tel:01204 392 881")</f>
        <v>0</v>
      </c>
    </row>
    <row r="468" spans="1:7">
      <c r="A468" t="s">
        <v>467</v>
      </c>
      <c r="B468">
        <f>HYPERLINK("tel:01162 852 300")</f>
        <v>0</v>
      </c>
      <c r="C468" t="s">
        <v>539</v>
      </c>
      <c r="D468">
        <f>HYPERLINK("https://www.policestationreps.com/reps.php?ID=1831&amp;venue=Bolton Crown Court&amp;pocoone=TEUxIDZCVQ==&amp;pocotwo=BL1 1SU")</f>
        <v>0</v>
      </c>
      <c r="E468" t="s">
        <v>545</v>
      </c>
      <c r="F468">
        <f>HYPERLINK("https://www.google.com/maps/search/Blackhorse Street, Greater Manchester BL1 1SU")</f>
        <v>0</v>
      </c>
      <c r="G468">
        <f>HYPERLINK("tel:01204 392 881")</f>
        <v>0</v>
      </c>
    </row>
    <row r="469" spans="1:7">
      <c r="A469" t="s">
        <v>468</v>
      </c>
      <c r="B469">
        <f>HYPERLINK("tel:07901 811 839")</f>
        <v>0</v>
      </c>
      <c r="C469" t="s">
        <v>539</v>
      </c>
      <c r="D469">
        <f>HYPERLINK("https://www.policestationreps.com/reps.php?ID=1419&amp;venue=Bolton Crown Court&amp;pocoone=QjkwIDJBWg==&amp;pocotwo=BL1 1SU")</f>
        <v>0</v>
      </c>
      <c r="E469" t="s">
        <v>545</v>
      </c>
      <c r="F469">
        <f>HYPERLINK("https://www.google.com/maps/search/Blackhorse Street, Greater Manchester BL1 1SU")</f>
        <v>0</v>
      </c>
      <c r="G469">
        <f>HYPERLINK("tel:01204 392 881")</f>
        <v>0</v>
      </c>
    </row>
    <row r="470" spans="1:7">
      <c r="A470" t="s">
        <v>469</v>
      </c>
      <c r="B470">
        <f>HYPERLINK("tel:07449 058 688")</f>
        <v>0</v>
      </c>
      <c r="D470">
        <f>HYPERLINK("https://www.policestationreps.com/reps.php?ID=1012&amp;venue=Bolton Crown Court&amp;pocoone=TEUxOSAzRUU=&amp;pocotwo=BL1 1SU")</f>
        <v>0</v>
      </c>
      <c r="E470" t="s">
        <v>545</v>
      </c>
      <c r="F470">
        <f>HYPERLINK("https://www.google.com/maps/search/Blackhorse Street, Greater Manchester BL1 1SU")</f>
        <v>0</v>
      </c>
      <c r="G470">
        <f>HYPERLINK("tel:01204 392 881")</f>
        <v>0</v>
      </c>
    </row>
    <row r="471" spans="1:7">
      <c r="A471" t="s">
        <v>470</v>
      </c>
      <c r="B471">
        <f>HYPERLINK("tel:07866 250 822")</f>
        <v>0</v>
      </c>
      <c r="C471" t="s">
        <v>540</v>
      </c>
      <c r="D471">
        <f>HYPERLINK("https://www.policestationreps.com/reps.php?ID=2782&amp;venue=Bolton Crown Court&amp;pocoone=TEU1IDVITA==&amp;pocotwo=BL1 1SU")</f>
        <v>0</v>
      </c>
      <c r="E471" t="s">
        <v>545</v>
      </c>
      <c r="F471">
        <f>HYPERLINK("https://www.google.com/maps/search/Blackhorse Street, Greater Manchester BL1 1SU")</f>
        <v>0</v>
      </c>
      <c r="G471">
        <f>HYPERLINK("tel:01204 392 881")</f>
        <v>0</v>
      </c>
    </row>
    <row r="472" spans="1:7">
      <c r="A472" t="s">
        <v>471</v>
      </c>
      <c r="B472">
        <f>HYPERLINK("tel:07401 380 063")</f>
        <v>0</v>
      </c>
      <c r="C472" t="s">
        <v>540</v>
      </c>
      <c r="D472">
        <f>HYPERLINK("https://www.policestationreps.com/reps.php?ID=2518&amp;venue=Bolton Crown Court&amp;pocoone=TEU1IDFXUQ==&amp;pocotwo=BL1 1SU")</f>
        <v>0</v>
      </c>
      <c r="E472" t="s">
        <v>545</v>
      </c>
      <c r="F472">
        <f>HYPERLINK("https://www.google.com/maps/search/Blackhorse Street, Greater Manchester BL1 1SU")</f>
        <v>0</v>
      </c>
      <c r="G472">
        <f>HYPERLINK("tel:01204 392 881")</f>
        <v>0</v>
      </c>
    </row>
    <row r="473" spans="1:7">
      <c r="A473" t="s">
        <v>472</v>
      </c>
      <c r="B473">
        <f>HYPERLINK("tel:07773 081 366")</f>
        <v>0</v>
      </c>
      <c r="C473" t="s">
        <v>541</v>
      </c>
      <c r="D473">
        <f>HYPERLINK("https://www.policestationreps.com/reps.php?ID=2156&amp;venue=Bolton Crown Court&amp;pocoone=TEU1IDVMRA==&amp;pocotwo=BL1 1SU")</f>
        <v>0</v>
      </c>
      <c r="E473" t="s">
        <v>545</v>
      </c>
      <c r="F473">
        <f>HYPERLINK("https://www.google.com/maps/search/Blackhorse Street, Greater Manchester BL1 1SU")</f>
        <v>0</v>
      </c>
      <c r="G473">
        <f>HYPERLINK("tel:01204 392 881")</f>
        <v>0</v>
      </c>
    </row>
    <row r="474" spans="1:7">
      <c r="A474" t="s">
        <v>473</v>
      </c>
      <c r="B474">
        <f>HYPERLINK("tel:07976 291 146")</f>
        <v>0</v>
      </c>
      <c r="C474" t="s">
        <v>541</v>
      </c>
      <c r="D474">
        <f>HYPERLINK("https://www.policestationreps.com/reps.php?ID=2058&amp;venue=Bolton Crown Court&amp;pocoone=TEU1IDFXWA==&amp;pocotwo=BL1 1SU")</f>
        <v>0</v>
      </c>
      <c r="E474" t="s">
        <v>545</v>
      </c>
      <c r="F474">
        <f>HYPERLINK("https://www.google.com/maps/search/Blackhorse Street, Greater Manchester BL1 1SU")</f>
        <v>0</v>
      </c>
      <c r="G474">
        <f>HYPERLINK("tel:01204 392 881")</f>
        <v>0</v>
      </c>
    </row>
    <row r="475" spans="1:7">
      <c r="A475" t="s">
        <v>474</v>
      </c>
      <c r="B475">
        <f>HYPERLINK("tel:07881 225 073")</f>
        <v>0</v>
      </c>
      <c r="C475" t="s">
        <v>540</v>
      </c>
      <c r="D475">
        <f>HYPERLINK("https://www.policestationreps.com/reps.php?ID=2859&amp;venue=Bolton Crown Court&amp;pocoone=TEUyIDZFRw==&amp;pocotwo=BL1 1SU")</f>
        <v>0</v>
      </c>
      <c r="E475" t="s">
        <v>545</v>
      </c>
      <c r="F475">
        <f>HYPERLINK("https://www.google.com/maps/search/Blackhorse Street, Greater Manchester BL1 1SU")</f>
        <v>0</v>
      </c>
      <c r="G475">
        <f>HYPERLINK("tel:01204 392 881")</f>
        <v>0</v>
      </c>
    </row>
    <row r="476" spans="1:7">
      <c r="A476" t="s">
        <v>475</v>
      </c>
      <c r="B476">
        <f>HYPERLINK("tel:07517 624 580")</f>
        <v>0</v>
      </c>
      <c r="C476" t="s">
        <v>539</v>
      </c>
      <c r="D476">
        <f>HYPERLINK("https://www.policestationreps.com/reps.php?ID=2810&amp;venue=Bolton Crown Court&amp;pocoone=TEU1IDVBVA==&amp;pocotwo=BL1 1SU")</f>
        <v>0</v>
      </c>
      <c r="E476" t="s">
        <v>545</v>
      </c>
      <c r="F476">
        <f>HYPERLINK("https://www.google.com/maps/search/Blackhorse Street, Greater Manchester BL1 1SU")</f>
        <v>0</v>
      </c>
      <c r="G476">
        <f>HYPERLINK("tel:01204 392 881")</f>
        <v>0</v>
      </c>
    </row>
    <row r="477" spans="1:7">
      <c r="A477" t="s">
        <v>476</v>
      </c>
      <c r="B477">
        <f>HYPERLINK("tel:07942 893 208")</f>
        <v>0</v>
      </c>
      <c r="C477" t="s">
        <v>540</v>
      </c>
      <c r="D477">
        <f>HYPERLINK("https://www.policestationreps.com/reps.php?ID=1107&amp;venue=Bolton Crown Court&amp;pocoone=bGUyIDN0ZA==&amp;pocotwo=BL1 1SU")</f>
        <v>0</v>
      </c>
      <c r="E477" t="s">
        <v>545</v>
      </c>
      <c r="F477">
        <f>HYPERLINK("https://www.google.com/maps/search/Blackhorse Street, Greater Manchester BL1 1SU")</f>
        <v>0</v>
      </c>
      <c r="G477">
        <f>HYPERLINK("tel:01204 392 881")</f>
        <v>0</v>
      </c>
    </row>
    <row r="478" spans="1:7">
      <c r="A478" t="s">
        <v>477</v>
      </c>
      <c r="B478">
        <f>HYPERLINK("tel:07767 640 011")</f>
        <v>0</v>
      </c>
      <c r="C478" t="s">
        <v>539</v>
      </c>
      <c r="D478">
        <f>HYPERLINK("https://www.policestationreps.com/reps.php?ID=1363&amp;venue=Bolton Crown Court&amp;pocoone=TEU1IDZTRw==&amp;pocotwo=BL1 1SU")</f>
        <v>0</v>
      </c>
      <c r="E478" t="s">
        <v>545</v>
      </c>
      <c r="F478">
        <f>HYPERLINK("https://www.google.com/maps/search/Blackhorse Street, Greater Manchester BL1 1SU")</f>
        <v>0</v>
      </c>
      <c r="G478">
        <f>HYPERLINK("tel:01204 392 881")</f>
        <v>0</v>
      </c>
    </row>
    <row r="479" spans="1:7">
      <c r="A479" t="s">
        <v>478</v>
      </c>
      <c r="B479">
        <f>HYPERLINK("tel:07958 292 971")</f>
        <v>0</v>
      </c>
      <c r="C479" t="s">
        <v>539</v>
      </c>
      <c r="D479">
        <f>HYPERLINK("https://www.policestationreps.com/reps.php?ID=2661&amp;venue=Bolton Crown Court&amp;pocoone=TEU1IDVKRA==&amp;pocotwo=BL1 1SU")</f>
        <v>0</v>
      </c>
      <c r="E479" t="s">
        <v>545</v>
      </c>
      <c r="F479">
        <f>HYPERLINK("https://www.google.com/maps/search/Blackhorse Street, Greater Manchester BL1 1SU")</f>
        <v>0</v>
      </c>
      <c r="G479">
        <f>HYPERLINK("tel:01204 392 881")</f>
        <v>0</v>
      </c>
    </row>
    <row r="480" spans="1:7">
      <c r="A480" t="s">
        <v>479</v>
      </c>
      <c r="B480">
        <f>HYPERLINK("tel:07921 214 695")</f>
        <v>0</v>
      </c>
      <c r="C480" t="s">
        <v>539</v>
      </c>
      <c r="D480">
        <f>HYPERLINK("https://www.policestationreps.com/reps.php?ID=2696&amp;venue=Bolton Crown Court&amp;pocoone=TEU1IDFQQg==&amp;pocotwo=BL1 1SU")</f>
        <v>0</v>
      </c>
      <c r="E480" t="s">
        <v>545</v>
      </c>
      <c r="F480">
        <f>HYPERLINK("https://www.google.com/maps/search/Blackhorse Street, Greater Manchester BL1 1SU")</f>
        <v>0</v>
      </c>
      <c r="G480">
        <f>HYPERLINK("tel:01204 392 881")</f>
        <v>0</v>
      </c>
    </row>
    <row r="481" spans="1:7">
      <c r="A481" t="s">
        <v>480</v>
      </c>
      <c r="B481">
        <f>HYPERLINK("tel:07947 506 770")</f>
        <v>0</v>
      </c>
      <c r="C481" t="s">
        <v>540</v>
      </c>
      <c r="D481">
        <f>HYPERLINK("https://www.policestationreps.com/reps.php?ID=1160&amp;venue=Bolton Crown Court&amp;pocoone=TEUyIDBRRA==&amp;pocotwo=BL1 1SU")</f>
        <v>0</v>
      </c>
      <c r="E481" t="s">
        <v>545</v>
      </c>
      <c r="F481">
        <f>HYPERLINK("https://www.google.com/maps/search/Blackhorse Street, Greater Manchester BL1 1SU")</f>
        <v>0</v>
      </c>
      <c r="G481">
        <f>HYPERLINK("tel:01204 392 881")</f>
        <v>0</v>
      </c>
    </row>
    <row r="482" spans="1:7">
      <c r="A482" t="s">
        <v>481</v>
      </c>
      <c r="B482">
        <f>HYPERLINK("tel:07957 498 839")</f>
        <v>0</v>
      </c>
      <c r="C482" t="s">
        <v>541</v>
      </c>
      <c r="D482">
        <f>HYPERLINK("https://www.policestationreps.com/reps.php?ID=2641&amp;venue=Bolton Crown Court&amp;pocoone=TEUyIDdTVA==&amp;pocotwo=BL1 1SU")</f>
        <v>0</v>
      </c>
      <c r="E482" t="s">
        <v>545</v>
      </c>
      <c r="F482">
        <f>HYPERLINK("https://www.google.com/maps/search/Blackhorse Street, Greater Manchester BL1 1SU")</f>
        <v>0</v>
      </c>
      <c r="G482">
        <f>HYPERLINK("tel:01204 392 881")</f>
        <v>0</v>
      </c>
    </row>
    <row r="483" spans="1:7">
      <c r="A483" t="s">
        <v>482</v>
      </c>
      <c r="B483">
        <f>HYPERLINK("tel:07984 329 611")</f>
        <v>0</v>
      </c>
      <c r="C483" t="s">
        <v>540</v>
      </c>
      <c r="D483">
        <f>HYPERLINK("https://www.policestationreps.com/reps.php?ID=1570&amp;venue=Bolton Crown Court&amp;pocoone=TEU1IDVQUA==&amp;pocotwo=BL1 1SU")</f>
        <v>0</v>
      </c>
      <c r="E483" t="s">
        <v>545</v>
      </c>
      <c r="F483">
        <f>HYPERLINK("https://www.google.com/maps/search/Blackhorse Street, Greater Manchester BL1 1SU")</f>
        <v>0</v>
      </c>
      <c r="G483">
        <f>HYPERLINK("tel:01204 392 881")</f>
        <v>0</v>
      </c>
    </row>
    <row r="484" spans="1:7">
      <c r="A484" t="s">
        <v>483</v>
      </c>
      <c r="B484">
        <f>HYPERLINK("tel:07568 488 046")</f>
        <v>0</v>
      </c>
      <c r="C484" t="s">
        <v>539</v>
      </c>
      <c r="D484">
        <f>HYPERLINK("https://www.policestationreps.com/reps.php?ID=2292&amp;venue=Bolton Crown Court&amp;pocoone=TE44IDNQUg==&amp;pocotwo=BL1 1SU")</f>
        <v>0</v>
      </c>
      <c r="E484" t="s">
        <v>545</v>
      </c>
      <c r="F484">
        <f>HYPERLINK("https://www.google.com/maps/search/Blackhorse Street, Greater Manchester BL1 1SU")</f>
        <v>0</v>
      </c>
      <c r="G484">
        <f>HYPERLINK("tel:01204 392 881")</f>
        <v>0</v>
      </c>
    </row>
    <row r="485" spans="1:7">
      <c r="A485" t="s">
        <v>484</v>
      </c>
      <c r="B485">
        <f>HYPERLINK("tel:07949 759 055")</f>
        <v>0</v>
      </c>
      <c r="C485" t="s">
        <v>539</v>
      </c>
      <c r="D485">
        <f>HYPERLINK("https://www.policestationreps.com/reps.php?ID=2737&amp;venue=Bolton Crown Court&amp;pocoone=SFU3IDNKTA==&amp;pocotwo=BL1 1SU")</f>
        <v>0</v>
      </c>
      <c r="E485" t="s">
        <v>545</v>
      </c>
      <c r="F485">
        <f>HYPERLINK("https://www.google.com/maps/search/Blackhorse Street, Greater Manchester BL1 1SU")</f>
        <v>0</v>
      </c>
      <c r="G485">
        <f>HYPERLINK("tel:01204 392 881")</f>
        <v>0</v>
      </c>
    </row>
    <row r="486" spans="1:7">
      <c r="A486" t="s">
        <v>485</v>
      </c>
      <c r="B486">
        <f>HYPERLINK("tel:07743 625 527")</f>
        <v>0</v>
      </c>
      <c r="C486" t="s">
        <v>539</v>
      </c>
      <c r="D486">
        <f>HYPERLINK("https://www.policestationreps.com/reps.php?ID=2905&amp;venue=Bolton Crown Court&amp;pocoone=SFU3IDNOWA==&amp;pocotwo=BL1 1SU")</f>
        <v>0</v>
      </c>
      <c r="E486" t="s">
        <v>545</v>
      </c>
      <c r="F486">
        <f>HYPERLINK("https://www.google.com/maps/search/Blackhorse Street, Greater Manchester BL1 1SU")</f>
        <v>0</v>
      </c>
      <c r="G486">
        <f>HYPERLINK("tel:01204 392 881")</f>
        <v>0</v>
      </c>
    </row>
    <row r="487" spans="1:7">
      <c r="A487" t="s">
        <v>486</v>
      </c>
      <c r="B487">
        <f>HYPERLINK("tel:07479 945 748")</f>
        <v>0</v>
      </c>
      <c r="C487" t="s">
        <v>540</v>
      </c>
      <c r="D487">
        <f>HYPERLINK("https://www.policestationreps.com/reps.php?ID=893&amp;venue=Bolton Crown Court&amp;pocoone=SFU3IDNKQQ==&amp;pocotwo=BL1 1SU")</f>
        <v>0</v>
      </c>
      <c r="E487" t="s">
        <v>545</v>
      </c>
      <c r="F487">
        <f>HYPERLINK("https://www.google.com/maps/search/Blackhorse Street, Greater Manchester BL1 1SU")</f>
        <v>0</v>
      </c>
      <c r="G487">
        <f>HYPERLINK("tel:01204 392 881")</f>
        <v>0</v>
      </c>
    </row>
    <row r="488" spans="1:7">
      <c r="A488" t="s">
        <v>487</v>
      </c>
      <c r="B488">
        <f>HYPERLINK("tel:07411 416 675")</f>
        <v>0</v>
      </c>
      <c r="C488" t="s">
        <v>539</v>
      </c>
      <c r="D488">
        <f>HYPERLINK("https://www.policestationreps.com/reps.php?ID=2335&amp;venue=Bolton Crown Court&amp;pocoone=REg3IDhOUQ==&amp;pocotwo=BL1 1SU")</f>
        <v>0</v>
      </c>
      <c r="E488" t="s">
        <v>545</v>
      </c>
      <c r="F488">
        <f>HYPERLINK("https://www.google.com/maps/search/Blackhorse Street, Greater Manchester BL1 1SU")</f>
        <v>0</v>
      </c>
      <c r="G488">
        <f>HYPERLINK("tel:01204 392 881")</f>
        <v>0</v>
      </c>
    </row>
    <row r="489" spans="1:7">
      <c r="A489" t="s">
        <v>488</v>
      </c>
      <c r="B489">
        <f>HYPERLINK("tel:07513 988 111")</f>
        <v>0</v>
      </c>
      <c r="C489" t="s">
        <v>540</v>
      </c>
      <c r="D489">
        <f>HYPERLINK("https://www.policestationreps.com/reps.php?ID=1188&amp;venue=Bolton Crown Court&amp;pocoone=TEUxOCAxSEE=&amp;pocotwo=BL1 1SU")</f>
        <v>0</v>
      </c>
      <c r="E489" t="s">
        <v>545</v>
      </c>
      <c r="F489">
        <f>HYPERLINK("https://www.google.com/maps/search/Blackhorse Street, Greater Manchester BL1 1SU")</f>
        <v>0</v>
      </c>
      <c r="G489">
        <f>HYPERLINK("tel:01204 392 881")</f>
        <v>0</v>
      </c>
    </row>
    <row r="490" spans="1:7">
      <c r="A490" t="s">
        <v>489</v>
      </c>
      <c r="B490">
        <f>HYPERLINK("tel:07376 948 903")</f>
        <v>0</v>
      </c>
      <c r="C490" t="s">
        <v>539</v>
      </c>
      <c r="D490">
        <f>HYPERLINK("https://www.policestationreps.com/reps.php?ID=2424&amp;venue=Bolton Crown Court&amp;pocoone=Q1Y2IDFBRA==&amp;pocotwo=BL1 1SU")</f>
        <v>0</v>
      </c>
      <c r="E490" t="s">
        <v>545</v>
      </c>
      <c r="F490">
        <f>HYPERLINK("https://www.google.com/maps/search/Blackhorse Street, Greater Manchester BL1 1SU")</f>
        <v>0</v>
      </c>
      <c r="G490">
        <f>HYPERLINK("tel:01204 392 881")</f>
        <v>0</v>
      </c>
    </row>
    <row r="491" spans="1:7">
      <c r="A491" t="s">
        <v>490</v>
      </c>
      <c r="B491">
        <f>HYPERLINK("tel:07891 259 732")</f>
        <v>0</v>
      </c>
      <c r="C491" t="s">
        <v>539</v>
      </c>
      <c r="D491">
        <f>HYPERLINK("https://www.policestationreps.com/reps.php?ID=1343&amp;venue=Bolton Crown Court&amp;pocoone=Q1Y2IDFBWQ==&amp;pocotwo=BL1 1SU")</f>
        <v>0</v>
      </c>
      <c r="E491" t="s">
        <v>545</v>
      </c>
      <c r="F491">
        <f>HYPERLINK("https://www.google.com/maps/search/Blackhorse Street, Greater Manchester BL1 1SU")</f>
        <v>0</v>
      </c>
      <c r="G491">
        <f>HYPERLINK("tel:01204 392 881")</f>
        <v>0</v>
      </c>
    </row>
    <row r="492" spans="1:7">
      <c r="A492" t="s">
        <v>491</v>
      </c>
      <c r="B492">
        <f>HYPERLINK("tel:07488 599 461")</f>
        <v>0</v>
      </c>
      <c r="C492" t="s">
        <v>539</v>
      </c>
      <c r="D492">
        <f>HYPERLINK("https://www.policestationreps.com/reps.php?ID=971&amp;venue=Bolton Crown Court&amp;pocoone=QjYwIDNRUg==&amp;pocotwo=BL1 1SU")</f>
        <v>0</v>
      </c>
      <c r="E492" t="s">
        <v>545</v>
      </c>
      <c r="F492">
        <f>HYPERLINK("https://www.google.com/maps/search/Blackhorse Street, Greater Manchester BL1 1SU")</f>
        <v>0</v>
      </c>
      <c r="G492">
        <f>HYPERLINK("tel:01204 392 881")</f>
        <v>0</v>
      </c>
    </row>
    <row r="493" spans="1:7">
      <c r="A493" t="s">
        <v>492</v>
      </c>
      <c r="B493">
        <f>HYPERLINK("tel:07931 710 861")</f>
        <v>0</v>
      </c>
      <c r="C493" t="s">
        <v>539</v>
      </c>
      <c r="D493">
        <f>HYPERLINK("https://www.policestationreps.com/reps.php?ID=725&amp;venue=Bolton Crown Court&amp;pocoone=Q1Y1IDdGVw==&amp;pocotwo=BL1 1SU")</f>
        <v>0</v>
      </c>
      <c r="E493" t="s">
        <v>545</v>
      </c>
      <c r="F493">
        <f>HYPERLINK("https://www.google.com/maps/search/Blackhorse Street, Greater Manchester BL1 1SU")</f>
        <v>0</v>
      </c>
      <c r="G493">
        <f>HYPERLINK("tel:01204 392 881")</f>
        <v>0</v>
      </c>
    </row>
    <row r="494" spans="1:7">
      <c r="A494" t="s">
        <v>493</v>
      </c>
      <c r="B494">
        <f>HYPERLINK("tel:07803 573 941")</f>
        <v>0</v>
      </c>
      <c r="C494" t="s">
        <v>541</v>
      </c>
      <c r="D494">
        <f>HYPERLINK("https://www.policestationreps.com/reps.php?ID=2191&amp;venue=Bolton Crown Court&amp;pocoone=Q1Y1IDlQVw==&amp;pocotwo=BL1 1SU")</f>
        <v>0</v>
      </c>
      <c r="E494" t="s">
        <v>545</v>
      </c>
      <c r="F494">
        <f>HYPERLINK("https://www.google.com/maps/search/Blackhorse Street, Greater Manchester BL1 1SU")</f>
        <v>0</v>
      </c>
      <c r="G494">
        <f>HYPERLINK("tel:01204 392 881")</f>
        <v>0</v>
      </c>
    </row>
    <row r="495" spans="1:7">
      <c r="A495" t="s">
        <v>494</v>
      </c>
      <c r="B495">
        <f>HYPERLINK("tel:07908 432 733")</f>
        <v>0</v>
      </c>
      <c r="C495" t="s">
        <v>539</v>
      </c>
      <c r="D495">
        <f>HYPERLINK("https://www.policestationreps.com/reps.php?ID=2874&amp;venue=Bolton Crown Court&amp;pocoone=Q1Y2IDFQRA==&amp;pocotwo=BL1 1SU")</f>
        <v>0</v>
      </c>
      <c r="E495" t="s">
        <v>545</v>
      </c>
      <c r="F495">
        <f>HYPERLINK("https://www.google.com/maps/search/Blackhorse Street, Greater Manchester BL1 1SU")</f>
        <v>0</v>
      </c>
      <c r="G495">
        <f>HYPERLINK("tel:01204 392 881")</f>
        <v>0</v>
      </c>
    </row>
    <row r="496" spans="1:7">
      <c r="A496" t="s">
        <v>495</v>
      </c>
      <c r="B496">
        <f>HYPERLINK("tel:07975 773 636")</f>
        <v>0</v>
      </c>
      <c r="C496" t="s">
        <v>542</v>
      </c>
      <c r="D496">
        <f>HYPERLINK("https://www.policestationreps.com/reps.php?ID=1319&amp;venue=Bolton Crown Court&amp;pocoone=Q0E3IDBFTg==&amp;pocotwo=BL1 1SU")</f>
        <v>0</v>
      </c>
      <c r="E496" t="s">
        <v>545</v>
      </c>
      <c r="F496">
        <f>HYPERLINK("https://www.google.com/maps/search/Blackhorse Street, Greater Manchester BL1 1SU")</f>
        <v>0</v>
      </c>
      <c r="G496">
        <f>HYPERLINK("tel:01204 392 881")</f>
        <v>0</v>
      </c>
    </row>
    <row r="497" spans="1:7">
      <c r="A497" t="s">
        <v>496</v>
      </c>
      <c r="B497">
        <f>HYPERLINK("tel:07834 196 208")</f>
        <v>0</v>
      </c>
      <c r="C497" t="s">
        <v>541</v>
      </c>
      <c r="D497">
        <f>HYPERLINK("https://www.policestationreps.com/reps.php?ID=1446&amp;venue=Bolton Crown Court&amp;pocoone=Q0E1IDdBQg==&amp;pocotwo=BL1 1SU")</f>
        <v>0</v>
      </c>
      <c r="E497" t="s">
        <v>545</v>
      </c>
      <c r="F497">
        <f>HYPERLINK("https://www.google.com/maps/search/Blackhorse Street, Greater Manchester BL1 1SU")</f>
        <v>0</v>
      </c>
      <c r="G497">
        <f>HYPERLINK("tel:01204 392 881")</f>
        <v>0</v>
      </c>
    </row>
    <row r="498" spans="1:7">
      <c r="A498" t="s">
        <v>497</v>
      </c>
      <c r="B498">
        <f>HYPERLINK("tel:07376 304 145")</f>
        <v>0</v>
      </c>
      <c r="C498" t="s">
        <v>539</v>
      </c>
      <c r="D498">
        <f>HYPERLINK("https://www.policestationreps.com/reps.php?ID=2289&amp;venue=Bolton Crown Court&amp;pocoone=Q1YxIDNCRg==&amp;pocotwo=BL1 1SU")</f>
        <v>0</v>
      </c>
      <c r="E498" t="s">
        <v>545</v>
      </c>
      <c r="F498">
        <f>HYPERLINK("https://www.google.com/maps/search/Blackhorse Street, Greater Manchester BL1 1SU")</f>
        <v>0</v>
      </c>
      <c r="G498">
        <f>HYPERLINK("tel:01204 392 881")</f>
        <v>0</v>
      </c>
    </row>
    <row r="499" spans="1:7">
      <c r="A499" t="s">
        <v>498</v>
      </c>
      <c r="B499">
        <f>HYPERLINK("tel:07805 009 382")</f>
        <v>0</v>
      </c>
      <c r="C499" t="s">
        <v>539</v>
      </c>
      <c r="D499">
        <f>HYPERLINK("https://www.policestationreps.com/reps.php?ID=1031&amp;venue=Bolton Crown Court&amp;pocoone=Q1YxIDJEVw==&amp;pocotwo=BL1 1SU")</f>
        <v>0</v>
      </c>
      <c r="E499" t="s">
        <v>545</v>
      </c>
      <c r="F499">
        <f>HYPERLINK("https://www.google.com/maps/search/Blackhorse Street, Greater Manchester BL1 1SU")</f>
        <v>0</v>
      </c>
      <c r="G499">
        <f>HYPERLINK("tel:01204 392 881")</f>
        <v>0</v>
      </c>
    </row>
    <row r="500" spans="1:7">
      <c r="A500" t="s">
        <v>499</v>
      </c>
      <c r="B500">
        <f>HYPERLINK("tel:07934 732 336")</f>
        <v>0</v>
      </c>
      <c r="C500" t="s">
        <v>540</v>
      </c>
      <c r="D500">
        <f>HYPERLINK("https://www.policestationreps.com/reps.php?ID=48&amp;venue=Bolton Crown Court&amp;pocoone=REgxIDRBVA==&amp;pocotwo=BL1 1SU")</f>
        <v>0</v>
      </c>
      <c r="E500" t="s">
        <v>545</v>
      </c>
      <c r="F500">
        <f>HYPERLINK("https://www.google.com/maps/search/Blackhorse Street, Greater Manchester BL1 1SU")</f>
        <v>0</v>
      </c>
      <c r="G500">
        <f>HYPERLINK("tel:01204 392 881")</f>
        <v>0</v>
      </c>
    </row>
    <row r="501" spans="1:7">
      <c r="A501" t="s">
        <v>500</v>
      </c>
      <c r="B501">
        <f>HYPERLINK("tel:07787 519 479")</f>
        <v>0</v>
      </c>
      <c r="C501" t="s">
        <v>541</v>
      </c>
      <c r="D501">
        <f>HYPERLINK("https://www.policestationreps.com/reps.php?ID=909&amp;venue=Bolton Crown Court&amp;pocoone=Q1Y0IDlCUw==&amp;pocotwo=BL1 1SU")</f>
        <v>0</v>
      </c>
      <c r="E501" t="s">
        <v>545</v>
      </c>
      <c r="F501">
        <f>HYPERLINK("https://www.google.com/maps/search/Blackhorse Street, Greater Manchester BL1 1SU")</f>
        <v>0</v>
      </c>
      <c r="G501">
        <f>HYPERLINK("tel:01204 392 881")</f>
        <v>0</v>
      </c>
    </row>
    <row r="502" spans="1:7">
      <c r="A502" t="s">
        <v>501</v>
      </c>
      <c r="B502">
        <f>HYPERLINK("tel:07788 100 290")</f>
        <v>0</v>
      </c>
      <c r="C502" t="s">
        <v>539</v>
      </c>
      <c r="D502">
        <f>HYPERLINK("https://www.policestationreps.com/reps.php?ID=313&amp;venue=Bolton Crown Court&amp;pocoone=Q1YyIDVCWg==&amp;pocotwo=BL1 1SU")</f>
        <v>0</v>
      </c>
      <c r="E502" t="s">
        <v>545</v>
      </c>
      <c r="F502">
        <f>HYPERLINK("https://www.google.com/maps/search/Blackhorse Street, Greater Manchester BL1 1SU")</f>
        <v>0</v>
      </c>
      <c r="G502">
        <f>HYPERLINK("tel:01204 392 881")</f>
        <v>0</v>
      </c>
    </row>
    <row r="503" spans="1:7">
      <c r="A503" t="s">
        <v>502</v>
      </c>
      <c r="B503">
        <f>HYPERLINK("tel:07801 103 547")</f>
        <v>0</v>
      </c>
      <c r="C503" t="s">
        <v>539</v>
      </c>
      <c r="D503">
        <f>HYPERLINK("https://www.policestationreps.com/reps.php?ID=39&amp;venue=Bolton Crown Court&amp;pocoone=TEU4IDBXRQ==&amp;pocotwo=BL1 1SU")</f>
        <v>0</v>
      </c>
      <c r="E503" t="s">
        <v>545</v>
      </c>
      <c r="F503">
        <f>HYPERLINK("https://www.google.com/maps/search/Blackhorse Street, Greater Manchester BL1 1SU")</f>
        <v>0</v>
      </c>
      <c r="G503">
        <f>HYPERLINK("tel:01204 392 881")</f>
        <v>0</v>
      </c>
    </row>
    <row r="504" spans="1:7">
      <c r="A504" t="s">
        <v>503</v>
      </c>
      <c r="B504">
        <f>HYPERLINK("tel:07792 735 793")</f>
        <v>0</v>
      </c>
      <c r="C504" t="s">
        <v>539</v>
      </c>
      <c r="D504">
        <f>HYPERLINK("https://www.policestationreps.com/reps.php?ID=2035&amp;venue=Bolton Crown Court&amp;pocoone=TEU4IDVSRA==&amp;pocotwo=BL1 1SU")</f>
        <v>0</v>
      </c>
      <c r="E504" t="s">
        <v>545</v>
      </c>
      <c r="F504">
        <f>HYPERLINK("https://www.google.com/maps/search/Blackhorse Street, Greater Manchester BL1 1SU")</f>
        <v>0</v>
      </c>
      <c r="G504">
        <f>HYPERLINK("tel:01204 392 881")</f>
        <v>0</v>
      </c>
    </row>
    <row r="505" spans="1:7">
      <c r="A505" t="s">
        <v>504</v>
      </c>
      <c r="B505">
        <f>HYPERLINK("tel:07447 517 006")</f>
        <v>0</v>
      </c>
      <c r="C505" t="s">
        <v>539</v>
      </c>
      <c r="D505">
        <f>HYPERLINK("https://www.policestationreps.com/reps.php?ID=1370&amp;venue=Bolton Crown Court&amp;pocoone=REg4IDBIRA==&amp;pocotwo=BL1 1SU")</f>
        <v>0</v>
      </c>
      <c r="E505" t="s">
        <v>545</v>
      </c>
      <c r="F505">
        <f>HYPERLINK("https://www.google.com/maps/search/Blackhorse Street, Greater Manchester BL1 1SU")</f>
        <v>0</v>
      </c>
      <c r="G505">
        <f>HYPERLINK("tel:01204 392 881")</f>
        <v>0</v>
      </c>
    </row>
    <row r="506" spans="1:7">
      <c r="A506" t="s">
        <v>505</v>
      </c>
      <c r="B506">
        <f>HYPERLINK("tel:07796 974 246")</f>
        <v>0</v>
      </c>
      <c r="C506" t="s">
        <v>540</v>
      </c>
      <c r="D506">
        <f>HYPERLINK("https://www.policestationreps.com/reps.php?ID=2455&amp;venue=Bolton Crown Court&amp;pocoone=Q0ExIDNOUQ==&amp;pocotwo=BL1 1SU")</f>
        <v>0</v>
      </c>
      <c r="E506" t="s">
        <v>545</v>
      </c>
      <c r="F506">
        <f>HYPERLINK("https://www.google.com/maps/search/Blackhorse Street, Greater Manchester BL1 1SU")</f>
        <v>0</v>
      </c>
      <c r="G506">
        <f>HYPERLINK("tel:01204 392 881")</f>
        <v>0</v>
      </c>
    </row>
    <row r="507" spans="1:7">
      <c r="A507" t="s">
        <v>506</v>
      </c>
      <c r="B507">
        <f>HYPERLINK("tel:07403 414 816")</f>
        <v>0</v>
      </c>
      <c r="C507" t="s">
        <v>540</v>
      </c>
      <c r="D507">
        <f>HYPERLINK("https://www.policestationreps.com/reps.php?ID=2780&amp;venue=Bolton Crown Court&amp;pocoone=Q0ExIDJEVw==&amp;pocotwo=BL1 1SU")</f>
        <v>0</v>
      </c>
      <c r="E507" t="s">
        <v>545</v>
      </c>
      <c r="F507">
        <f>HYPERLINK("https://www.google.com/maps/search/Blackhorse Street, Greater Manchester BL1 1SU")</f>
        <v>0</v>
      </c>
      <c r="G507">
        <f>HYPERLINK("tel:01204 392 881")</f>
        <v>0</v>
      </c>
    </row>
    <row r="508" spans="1:7">
      <c r="A508" t="s">
        <v>507</v>
      </c>
      <c r="B508">
        <f>HYPERLINK("tel:07802 417 938")</f>
        <v>0</v>
      </c>
      <c r="C508" t="s">
        <v>539</v>
      </c>
      <c r="D508">
        <f>HYPERLINK("https://www.policestationreps.com/reps.php?ID=880&amp;venue=Bolton Crown Court&amp;pocoone=Q0EyIDdSQQ==&amp;pocotwo=BL1 1SU")</f>
        <v>0</v>
      </c>
      <c r="E508" t="s">
        <v>545</v>
      </c>
      <c r="F508">
        <f>HYPERLINK("https://www.google.com/maps/search/Blackhorse Street, Greater Manchester BL1 1SU")</f>
        <v>0</v>
      </c>
      <c r="G508">
        <f>HYPERLINK("tel:01204 392 881")</f>
        <v>0</v>
      </c>
    </row>
    <row r="509" spans="1:7">
      <c r="A509" t="s">
        <v>508</v>
      </c>
      <c r="B509">
        <f>HYPERLINK("tel:07711 913 780")</f>
        <v>0</v>
      </c>
      <c r="C509" t="s">
        <v>540</v>
      </c>
      <c r="D509">
        <f>HYPERLINK("https://www.policestationreps.com/reps.php?ID=2593&amp;venue=Bolton Crown Court&amp;pocoone=Q0ExIDNUVQ==&amp;pocotwo=BL1 1SU")</f>
        <v>0</v>
      </c>
      <c r="E509" t="s">
        <v>545</v>
      </c>
      <c r="F509">
        <f>HYPERLINK("https://www.google.com/maps/search/Blackhorse Street, Greater Manchester BL1 1SU")</f>
        <v>0</v>
      </c>
      <c r="G509">
        <f>HYPERLINK("tel:01204 392 881")</f>
        <v>0</v>
      </c>
    </row>
    <row r="510" spans="1:7">
      <c r="A510" t="s">
        <v>509</v>
      </c>
      <c r="B510">
        <f>HYPERLINK("tel:07534 817 720")</f>
        <v>0</v>
      </c>
      <c r="C510" t="s">
        <v>539</v>
      </c>
      <c r="D510">
        <f>HYPERLINK("https://www.policestationreps.com/reps.php?ID=1642&amp;venue=Bolton Crown Court&amp;pocoone=WU8xMyA5UFc=&amp;pocotwo=BL1 1SU")</f>
        <v>0</v>
      </c>
      <c r="E510" t="s">
        <v>545</v>
      </c>
      <c r="F510">
        <f>HYPERLINK("https://www.google.com/maps/search/Blackhorse Street, Greater Manchester BL1 1SU")</f>
        <v>0</v>
      </c>
      <c r="G510">
        <f>HYPERLINK("tel:01204 392 881")</f>
        <v>0</v>
      </c>
    </row>
    <row r="511" spans="1:7">
      <c r="A511" t="s">
        <v>510</v>
      </c>
      <c r="B511">
        <f>HYPERLINK("tel:07720 891 053")</f>
        <v>0</v>
      </c>
      <c r="C511" t="s">
        <v>539</v>
      </c>
      <c r="D511">
        <f>HYPERLINK("https://www.policestationreps.com/reps.php?ID=2080&amp;venue=Bolton Crown Court&amp;pocoone=Q1Y4IDJRRA==&amp;pocotwo=BL1 1SU")</f>
        <v>0</v>
      </c>
      <c r="E511" t="s">
        <v>545</v>
      </c>
      <c r="F511">
        <f>HYPERLINK("https://www.google.com/maps/search/Blackhorse Street, Greater Manchester BL1 1SU")</f>
        <v>0</v>
      </c>
      <c r="G511">
        <f>HYPERLINK("tel:01204 392 881")</f>
        <v>0</v>
      </c>
    </row>
    <row r="512" spans="1:7">
      <c r="A512" t="s">
        <v>511</v>
      </c>
      <c r="B512">
        <f>HYPERLINK("tel:07961 212 870")</f>
        <v>0</v>
      </c>
      <c r="C512" t="s">
        <v>539</v>
      </c>
      <c r="D512">
        <f>HYPERLINK("https://www.policestationreps.com/reps.php?ID=2877&amp;venue=Bolton Crown Court&amp;pocoone=WU8yMSAzUEE=&amp;pocotwo=BL1 1SU")</f>
        <v>0</v>
      </c>
      <c r="E512" t="s">
        <v>545</v>
      </c>
      <c r="F512">
        <f>HYPERLINK("https://www.google.com/maps/search/Blackhorse Street, Greater Manchester BL1 1SU")</f>
        <v>0</v>
      </c>
      <c r="G512">
        <f>HYPERLINK("tel:01204 392 881")</f>
        <v>0</v>
      </c>
    </row>
    <row r="513" spans="1:7">
      <c r="A513" t="s">
        <v>512</v>
      </c>
      <c r="B513">
        <f>HYPERLINK("tel:07721 558 942")</f>
        <v>0</v>
      </c>
      <c r="C513" t="s">
        <v>539</v>
      </c>
      <c r="D513">
        <f>HYPERLINK("https://www.policestationreps.com/reps.php?ID=1424&amp;venue=Bolton Crown Court&amp;pocoone=Q0EzIDBMSg==&amp;pocotwo=BL1 1SU")</f>
        <v>0</v>
      </c>
      <c r="E513" t="s">
        <v>545</v>
      </c>
      <c r="F513">
        <f>HYPERLINK("https://www.google.com/maps/search/Blackhorse Street, Greater Manchester BL1 1SU")</f>
        <v>0</v>
      </c>
      <c r="G513">
        <f>HYPERLINK("tel:01204 392 881")</f>
        <v>0</v>
      </c>
    </row>
    <row r="514" spans="1:7">
      <c r="A514" t="s">
        <v>513</v>
      </c>
      <c r="B514">
        <f>HYPERLINK("tel:07792 385 704")</f>
        <v>0</v>
      </c>
      <c r="C514" t="s">
        <v>541</v>
      </c>
      <c r="D514">
        <f>HYPERLINK("https://www.policestationreps.com/reps.php?ID=1184&amp;venue=Bolton Crown Court&amp;pocoone=Q1Y4IDFQTg==&amp;pocotwo=BL1 1SU")</f>
        <v>0</v>
      </c>
      <c r="E514" t="s">
        <v>545</v>
      </c>
      <c r="F514">
        <f>HYPERLINK("https://www.google.com/maps/search/Blackhorse Street, Greater Manchester BL1 1SU")</f>
        <v>0</v>
      </c>
      <c r="G514">
        <f>HYPERLINK("tel:01204 392 881")</f>
        <v>0</v>
      </c>
    </row>
    <row r="515" spans="1:7">
      <c r="A515" t="s">
        <v>514</v>
      </c>
      <c r="B515">
        <f>HYPERLINK("tel:07534 361 282")</f>
        <v>0</v>
      </c>
      <c r="C515" t="s">
        <v>539</v>
      </c>
      <c r="D515">
        <f>HYPERLINK("https://www.policestationreps.com/reps.php?ID=1295&amp;venue=Bolton Crown Court&amp;pocoone=REg1IDBHRQ==&amp;pocotwo=BL1 1SU")</f>
        <v>0</v>
      </c>
      <c r="E515" t="s">
        <v>545</v>
      </c>
      <c r="F515">
        <f>HYPERLINK("https://www.google.com/maps/search/Blackhorse Street, Greater Manchester BL1 1SU")</f>
        <v>0</v>
      </c>
      <c r="G515">
        <f>HYPERLINK("tel:01204 392 881")</f>
        <v>0</v>
      </c>
    </row>
    <row r="516" spans="1:7">
      <c r="A516" t="s">
        <v>515</v>
      </c>
      <c r="B516">
        <f>HYPERLINK("tel:07501 032 128")</f>
        <v>0</v>
      </c>
      <c r="C516" t="s">
        <v>539</v>
      </c>
      <c r="D516">
        <f>HYPERLINK("https://www.policestationreps.com/reps.php?ID=2268&amp;venue=Bolton Crown Court&amp;pocoone=V1IzIDhOUw==&amp;pocotwo=BL1 1SU")</f>
        <v>0</v>
      </c>
      <c r="E516" t="s">
        <v>545</v>
      </c>
      <c r="F516">
        <f>HYPERLINK("https://www.google.com/maps/search/Blackhorse Street, Greater Manchester BL1 1SU")</f>
        <v>0</v>
      </c>
      <c r="G516">
        <f>HYPERLINK("tel:01204 392 881")</f>
        <v>0</v>
      </c>
    </row>
    <row r="517" spans="1:7">
      <c r="A517" t="s">
        <v>516</v>
      </c>
      <c r="B517">
        <f>HYPERLINK("tel:07946 273 019")</f>
        <v>0</v>
      </c>
      <c r="C517" t="s">
        <v>539</v>
      </c>
      <c r="D517">
        <f>HYPERLINK("https://www.policestationreps.com/reps.php?ID=1723&amp;venue=Bolton Crown Court&amp;pocoone=Qjk2IDZEQg==&amp;pocotwo=BL1 1SU")</f>
        <v>0</v>
      </c>
      <c r="E517" t="s">
        <v>545</v>
      </c>
      <c r="F517">
        <f>HYPERLINK("https://www.google.com/maps/search/Blackhorse Street, Greater Manchester BL1 1SU")</f>
        <v>0</v>
      </c>
      <c r="G517">
        <f>HYPERLINK("tel:01204 392 881")</f>
        <v>0</v>
      </c>
    </row>
    <row r="518" spans="1:7">
      <c r="A518" t="s">
        <v>517</v>
      </c>
      <c r="B518">
        <f>HYPERLINK("tel:07743 120 013")</f>
        <v>0</v>
      </c>
      <c r="C518" t="s">
        <v>539</v>
      </c>
      <c r="D518">
        <f>HYPERLINK("https://www.policestationreps.com/reps.php?ID=2720&amp;venue=Bolton Crown Court&amp;pocoone=SFUxMiAwSkE=&amp;pocotwo=BL1 1SU")</f>
        <v>0</v>
      </c>
      <c r="E518" t="s">
        <v>545</v>
      </c>
      <c r="F518">
        <f>HYPERLINK("https://www.google.com/maps/search/Blackhorse Street, Greater Manchester BL1 1SU")</f>
        <v>0</v>
      </c>
      <c r="G518">
        <f>HYPERLINK("tel:01204 392 881")</f>
        <v>0</v>
      </c>
    </row>
    <row r="519" spans="1:7">
      <c r="A519" t="s">
        <v>518</v>
      </c>
      <c r="B519">
        <f>HYPERLINK("tel:07850 937 456")</f>
        <v>0</v>
      </c>
      <c r="C519" t="s">
        <v>539</v>
      </c>
      <c r="D519">
        <f>HYPERLINK("https://www.policestationreps.com/reps.php?ID=1250&amp;venue=Bolton Crown Court&amp;pocoone=V1IzIDhOUw==&amp;pocotwo=BL1 1SU")</f>
        <v>0</v>
      </c>
      <c r="E519" t="s">
        <v>545</v>
      </c>
      <c r="F519">
        <f>HYPERLINK("https://www.google.com/maps/search/Blackhorse Street, Greater Manchester BL1 1SU")</f>
        <v>0</v>
      </c>
      <c r="G519">
        <f>HYPERLINK("tel:01204 392 881")</f>
        <v>0</v>
      </c>
    </row>
    <row r="520" spans="1:7">
      <c r="A520" t="s">
        <v>401</v>
      </c>
      <c r="B520">
        <f>HYPERLINK("tel:07833 551 502")</f>
        <v>0</v>
      </c>
      <c r="C520" t="s">
        <v>540</v>
      </c>
      <c r="D520">
        <f>HYPERLINK("https://www.policestationreps.com/reps.php?ID=189&amp;venue=Bolton Crown Court&amp;pocoone=REg0IDROWA==&amp;pocotwo=BL1 1SU")</f>
        <v>0</v>
      </c>
      <c r="E520" t="s">
        <v>545</v>
      </c>
      <c r="F520">
        <f>HYPERLINK("https://www.google.com/maps/search/Blackhorse Street, Greater Manchester BL1 1SU")</f>
        <v>0</v>
      </c>
      <c r="G520">
        <f>HYPERLINK("tel:01204 392 881")</f>
        <v>0</v>
      </c>
    </row>
    <row r="521" spans="1:7">
      <c r="A521" t="s">
        <v>519</v>
      </c>
      <c r="B521">
        <f>HYPERLINK("tel:07855 415 511")</f>
        <v>0</v>
      </c>
      <c r="C521" t="s">
        <v>540</v>
      </c>
      <c r="D521">
        <f>HYPERLINK("https://www.policestationreps.com/reps.php?ID=1843&amp;venue=Bolton Crown Court&amp;pocoone=WU8xMSAyUVQ=&amp;pocotwo=BL1 1SU")</f>
        <v>0</v>
      </c>
      <c r="E521" t="s">
        <v>545</v>
      </c>
      <c r="F521">
        <f>HYPERLINK("https://www.google.com/maps/search/Blackhorse Street, Greater Manchester BL1 1SU")</f>
        <v>0</v>
      </c>
      <c r="G521">
        <f>HYPERLINK("tel:01204 392 881")</f>
        <v>0</v>
      </c>
    </row>
    <row r="522" spans="1:7">
      <c r="A522" t="s">
        <v>520</v>
      </c>
      <c r="B522">
        <f>HYPERLINK("tel:07711 271 658")</f>
        <v>0</v>
      </c>
      <c r="C522" t="s">
        <v>540</v>
      </c>
      <c r="D522">
        <f>HYPERLINK("https://www.policestationreps.com/reps.php?ID=1952&amp;venue=Bolton Crown Court&amp;pocoone=WU8xMSAxSkw=&amp;pocotwo=BL1 1SU")</f>
        <v>0</v>
      </c>
      <c r="E522" t="s">
        <v>545</v>
      </c>
      <c r="F522">
        <f>HYPERLINK("https://www.google.com/maps/search/Blackhorse Street, Greater Manchester BL1 1SU")</f>
        <v>0</v>
      </c>
      <c r="G522">
        <f>HYPERLINK("tel:01204 392 881")</f>
        <v>0</v>
      </c>
    </row>
    <row r="523" spans="1:7">
      <c r="A523" t="s">
        <v>521</v>
      </c>
      <c r="B523">
        <f>HYPERLINK("tel:07815 716 058")</f>
        <v>0</v>
      </c>
      <c r="C523" t="s">
        <v>539</v>
      </c>
      <c r="D523">
        <f>HYPERLINK("https://www.policestationreps.com/reps.php?ID=886&amp;venue=Bolton Crown Court&amp;pocoone=RE4zNCA0UEo=&amp;pocotwo=BL1 1SU")</f>
        <v>0</v>
      </c>
      <c r="E523" t="s">
        <v>545</v>
      </c>
      <c r="F523">
        <f>HYPERLINK("https://www.google.com/maps/search/Blackhorse Street, Greater Manchester BL1 1SU")</f>
        <v>0</v>
      </c>
      <c r="G523">
        <f>HYPERLINK("tel:01204 392 881")</f>
        <v>0</v>
      </c>
    </row>
    <row r="524" spans="1:7">
      <c r="A524" t="s">
        <v>522</v>
      </c>
      <c r="B524">
        <f>HYPERLINK("tel:07584 293 615")</f>
        <v>0</v>
      </c>
      <c r="C524" t="s">
        <v>540</v>
      </c>
      <c r="D524">
        <f>HYPERLINK("https://www.policestationreps.com/reps.php?ID=1444&amp;venue=Bolton Crown Court&amp;pocoone=WU8xMSAxSkw=&amp;pocotwo=BL1 1SU")</f>
        <v>0</v>
      </c>
      <c r="E524" t="s">
        <v>545</v>
      </c>
      <c r="F524">
        <f>HYPERLINK("https://www.google.com/maps/search/Blackhorse Street, Greater Manchester BL1 1SU")</f>
        <v>0</v>
      </c>
      <c r="G524">
        <f>HYPERLINK("tel:01204 392 881")</f>
        <v>0</v>
      </c>
    </row>
    <row r="525" spans="1:7">
      <c r="A525" t="s">
        <v>523</v>
      </c>
      <c r="B525">
        <f>HYPERLINK("tel:07817 402 491")</f>
        <v>0</v>
      </c>
      <c r="C525" t="s">
        <v>539</v>
      </c>
      <c r="D525">
        <f>HYPERLINK("https://www.policestationreps.com/reps.php?ID=110&amp;venue=Bolton Crown Court&amp;pocoone=Q1YzNCA2Rk4=&amp;pocotwo=BL1 1SU")</f>
        <v>0</v>
      </c>
      <c r="E525" t="s">
        <v>545</v>
      </c>
      <c r="F525">
        <f>HYPERLINK("https://www.google.com/maps/search/Blackhorse Street, Greater Manchester BL1 1SU")</f>
        <v>0</v>
      </c>
      <c r="G525">
        <f>HYPERLINK("tel:01204 392 881")</f>
        <v>0</v>
      </c>
    </row>
    <row r="526" spans="1:7">
      <c r="A526" t="s">
        <v>524</v>
      </c>
      <c r="B526">
        <f>HYPERLINK("tel:07894 245 963")</f>
        <v>0</v>
      </c>
      <c r="C526" t="s">
        <v>539</v>
      </c>
      <c r="D526">
        <f>HYPERLINK("https://www.policestationreps.com/reps.php?ID=2212&amp;venue=Bolton Crown Court&amp;pocoone=V1IxIDJOWQ==&amp;pocotwo=BL1 1SU")</f>
        <v>0</v>
      </c>
      <c r="E526" t="s">
        <v>545</v>
      </c>
      <c r="F526">
        <f>HYPERLINK("https://www.google.com/maps/search/Blackhorse Street, Greater Manchester BL1 1SU")</f>
        <v>0</v>
      </c>
      <c r="G526">
        <f>HYPERLINK("tel:01204 392 881")</f>
        <v>0</v>
      </c>
    </row>
    <row r="527" spans="1:7">
      <c r="A527" t="s">
        <v>525</v>
      </c>
      <c r="B527">
        <f>HYPERLINK("tel:07831 435 194")</f>
        <v>0</v>
      </c>
      <c r="C527" t="s">
        <v>541</v>
      </c>
      <c r="D527">
        <f>HYPERLINK("https://www.policestationreps.com/reps.php?ID=467&amp;venue=Bolton Crown Court&amp;pocoone=Q1YyMSAyUVU=&amp;pocotwo=BL1 1SU")</f>
        <v>0</v>
      </c>
      <c r="E527" t="s">
        <v>545</v>
      </c>
      <c r="F527">
        <f>HYPERLINK("https://www.google.com/maps/search/Blackhorse Street, Greater Manchester BL1 1SU")</f>
        <v>0</v>
      </c>
      <c r="G527">
        <f>HYPERLINK("tel:01204 392 881")</f>
        <v>0</v>
      </c>
    </row>
    <row r="528" spans="1:7">
      <c r="A528" t="s">
        <v>526</v>
      </c>
      <c r="B528">
        <f>HYPERLINK("tel:07809 726 581")</f>
        <v>0</v>
      </c>
      <c r="C528" t="s">
        <v>539</v>
      </c>
      <c r="D528">
        <f>HYPERLINK("https://www.policestationreps.com/reps.php?ID=751&amp;venue=Bolton Crown Court&amp;pocoone=TEUxNSA2QUY=&amp;pocotwo=BL1 1SU")</f>
        <v>0</v>
      </c>
      <c r="E528" t="s">
        <v>545</v>
      </c>
      <c r="F528">
        <f>HYPERLINK("https://www.google.com/maps/search/Blackhorse Street, Greater Manchester BL1 1SU")</f>
        <v>0</v>
      </c>
      <c r="G528">
        <f>HYPERLINK("tel:01204 392 881")</f>
        <v>0</v>
      </c>
    </row>
    <row r="529" spans="1:7">
      <c r="A529" t="s">
        <v>527</v>
      </c>
      <c r="B529">
        <f>HYPERLINK("tel:07826 556 442")</f>
        <v>0</v>
      </c>
      <c r="C529" t="s">
        <v>539</v>
      </c>
      <c r="D529">
        <f>HYPERLINK("https://www.policestationreps.com/reps.php?ID=410&amp;venue=Bolton Crown Court&amp;pocoone=Q1YzNCA2RFU=&amp;pocotwo=BL1 1SU")</f>
        <v>0</v>
      </c>
      <c r="E529" t="s">
        <v>545</v>
      </c>
      <c r="F529">
        <f>HYPERLINK("https://www.google.com/maps/search/Blackhorse Street, Greater Manchester BL1 1SU")</f>
        <v>0</v>
      </c>
      <c r="G529">
        <f>HYPERLINK("tel:01204 392 881")</f>
        <v>0</v>
      </c>
    </row>
    <row r="530" spans="1:7">
      <c r="A530" t="s">
        <v>528</v>
      </c>
      <c r="B530">
        <f>HYPERLINK("tel:07546 283 829")</f>
        <v>0</v>
      </c>
      <c r="C530" t="s">
        <v>539</v>
      </c>
      <c r="D530">
        <f>HYPERLINK("https://www.policestationreps.com/reps.php?ID=174&amp;venue=Bolton Crown Court&amp;pocoone=V1IyIDZCTg==&amp;pocotwo=BL1 1SU")</f>
        <v>0</v>
      </c>
      <c r="E530" t="s">
        <v>545</v>
      </c>
      <c r="F530">
        <f>HYPERLINK("https://www.google.com/maps/search/Blackhorse Street, Greater Manchester BL1 1SU")</f>
        <v>0</v>
      </c>
      <c r="G530">
        <f>HYPERLINK("tel:01204 392 881")</f>
        <v>0</v>
      </c>
    </row>
    <row r="531" spans="1:7">
      <c r="A531" t="s">
        <v>529</v>
      </c>
      <c r="B531">
        <f>HYPERLINK("tel:07896 008 439")</f>
        <v>0</v>
      </c>
      <c r="C531" t="s">
        <v>539</v>
      </c>
      <c r="D531">
        <f>HYPERLINK("https://www.policestationreps.com/reps.php?ID=1154&amp;venue=Bolton Crown Court&amp;pocoone=Q1YzNCA2UUE=&amp;pocotwo=BL1 1SU")</f>
        <v>0</v>
      </c>
      <c r="E531" t="s">
        <v>545</v>
      </c>
      <c r="F531">
        <f>HYPERLINK("https://www.google.com/maps/search/Blackhorse Street, Greater Manchester BL1 1SU")</f>
        <v>0</v>
      </c>
      <c r="G531">
        <f>HYPERLINK("tel:01204 392 881")</f>
        <v>0</v>
      </c>
    </row>
    <row r="532" spans="1:7">
      <c r="A532" t="s">
        <v>530</v>
      </c>
      <c r="B532">
        <f>HYPERLINK("tel:07921 145 422")</f>
        <v>0</v>
      </c>
      <c r="C532" t="s">
        <v>539</v>
      </c>
      <c r="D532">
        <f>HYPERLINK("https://www.policestationreps.com/reps.php?ID=2391&amp;venue=Bolton Crown Court&amp;pocoone=Q1YzMiA0RUw=&amp;pocotwo=BL1 1SU")</f>
        <v>0</v>
      </c>
      <c r="E532" t="s">
        <v>545</v>
      </c>
      <c r="F532">
        <f>HYPERLINK("https://www.google.com/maps/search/Blackhorse Street, Greater Manchester BL1 1SU")</f>
        <v>0</v>
      </c>
      <c r="G532">
        <f>HYPERLINK("tel:01204 392 881")</f>
        <v>0</v>
      </c>
    </row>
    <row r="533" spans="1:7">
      <c r="A533" t="s">
        <v>531</v>
      </c>
      <c r="B533">
        <f>HYPERLINK("tel:07577 577 758")</f>
        <v>0</v>
      </c>
      <c r="C533" t="s">
        <v>539</v>
      </c>
      <c r="D533">
        <f>HYPERLINK("https://www.policestationreps.com/reps.php?ID=352&amp;venue=Bolton Crown Court&amp;pocoone=WU8xNiA3UFg=&amp;pocotwo=BL1 1SU")</f>
        <v>0</v>
      </c>
      <c r="E533" t="s">
        <v>545</v>
      </c>
      <c r="F533">
        <f>HYPERLINK("https://www.google.com/maps/search/Blackhorse Street, Greater Manchester BL1 1SU")</f>
        <v>0</v>
      </c>
      <c r="G533">
        <f>HYPERLINK("tel:01204 392 881")</f>
        <v>0</v>
      </c>
    </row>
    <row r="534" spans="1:7">
      <c r="A534" t="s">
        <v>532</v>
      </c>
      <c r="B534">
        <f>HYPERLINK("tel:07825 187 502")</f>
        <v>0</v>
      </c>
      <c r="C534" t="s">
        <v>539</v>
      </c>
      <c r="D534">
        <f>HYPERLINK("https://www.policestationreps.com/reps.php?ID=337&amp;venue=Bolton Crown Court&amp;pocoone=TkUxNiA1SE4=&amp;pocotwo=BL1 1SU")</f>
        <v>0</v>
      </c>
      <c r="E534" t="s">
        <v>545</v>
      </c>
      <c r="F534">
        <f>HYPERLINK("https://www.google.com/maps/search/Blackhorse Street, Greater Manchester BL1 1SU")</f>
        <v>0</v>
      </c>
      <c r="G534">
        <f>HYPERLINK("tel:01204 392 881")</f>
        <v>0</v>
      </c>
    </row>
    <row r="535" spans="1:7">
      <c r="A535" t="s">
        <v>533</v>
      </c>
      <c r="B535">
        <f>HYPERLINK("tel:07784 764 610")</f>
        <v>0</v>
      </c>
      <c r="C535" t="s">
        <v>543</v>
      </c>
      <c r="D535">
        <f>HYPERLINK("https://www.policestationreps.com/reps.php?ID=2607&amp;venue=Bolton Crown Court&amp;pocoone=V1I1IDNFWg==&amp;pocotwo=BL1 1SU")</f>
        <v>0</v>
      </c>
      <c r="E535" t="s">
        <v>545</v>
      </c>
      <c r="F535">
        <f>HYPERLINK("https://www.google.com/maps/search/Blackhorse Street, Greater Manchester BL1 1SU")</f>
        <v>0</v>
      </c>
      <c r="G535">
        <f>HYPERLINK("tel:01204 392 881")</f>
        <v>0</v>
      </c>
    </row>
    <row r="536" spans="1:7">
      <c r="A536" t="s">
        <v>534</v>
      </c>
      <c r="B536">
        <f>HYPERLINK("tel:07411 956 012")</f>
        <v>0</v>
      </c>
      <c r="C536" t="s">
        <v>539</v>
      </c>
      <c r="D536">
        <f>HYPERLINK("https://www.policestationreps.com/reps.php?ID=749&amp;venue=Bolton Crown Court&amp;pocoone=WU8xNiA3R1U=&amp;pocotwo=BL1 1SU")</f>
        <v>0</v>
      </c>
      <c r="E536" t="s">
        <v>545</v>
      </c>
      <c r="F536">
        <f>HYPERLINK("https://www.google.com/maps/search/Blackhorse Street, Greater Manchester BL1 1SU")</f>
        <v>0</v>
      </c>
      <c r="G536">
        <f>HYPERLINK("tel:01204 392 881")</f>
        <v>0</v>
      </c>
    </row>
    <row r="537" spans="1:7">
      <c r="A537" t="s">
        <v>535</v>
      </c>
      <c r="B537">
        <f>HYPERLINK("tel:07973 419 642")</f>
        <v>0</v>
      </c>
      <c r="C537" t="s">
        <v>539</v>
      </c>
      <c r="D537">
        <f>HYPERLINK("https://www.policestationreps.com/reps.php?ID=632&amp;venue=Bolton Central Police Station Scholey St&amp;pocoone=TkU5IDVTRA==&amp;pocotwo=BL2 1HD")</f>
        <v>0</v>
      </c>
      <c r="E537" t="s">
        <v>546</v>
      </c>
      <c r="F537">
        <f>HYPERLINK("https://www.google.com/maps/search/Scholey St, Off Manchester Rd, Greater Manchester BL2 1HD")</f>
        <v>0</v>
      </c>
      <c r="G537">
        <f>HYPERLINK("tel:0161 872 5050")</f>
        <v>0</v>
      </c>
    </row>
    <row r="538" spans="1:7">
      <c r="A538" t="s">
        <v>536</v>
      </c>
      <c r="B538">
        <f>HYPERLINK("tel:07977 073 035")</f>
        <v>0</v>
      </c>
      <c r="C538" t="s">
        <v>539</v>
      </c>
      <c r="D538">
        <f>HYPERLINK("https://www.policestationreps.com/reps.php?ID=365&amp;venue=Bolton Central Police Station Scholey St&amp;pocoone=TkU5IDVUWQ==&amp;pocotwo=BL2 1HD")</f>
        <v>0</v>
      </c>
      <c r="E538" t="s">
        <v>546</v>
      </c>
      <c r="F538">
        <f>HYPERLINK("https://www.google.com/maps/search/Scholey St, Off Manchester Rd, Greater Manchester BL2 1HD")</f>
        <v>0</v>
      </c>
      <c r="G538">
        <f>HYPERLINK("tel:0161 872 5050")</f>
        <v>0</v>
      </c>
    </row>
    <row r="539" spans="1:7">
      <c r="A539" t="s">
        <v>537</v>
      </c>
      <c r="B539">
        <f>HYPERLINK("tel:07738 274 450")</f>
        <v>0</v>
      </c>
      <c r="C539" t="s">
        <v>540</v>
      </c>
      <c r="D539">
        <f>HYPERLINK("https://www.policestationreps.com/reps.php?ID=925&amp;venue=Bolton Central Police Station Scholey St&amp;pocoone=TkU5IDVESA==&amp;pocotwo=BL2 1HD")</f>
        <v>0</v>
      </c>
      <c r="E539" t="s">
        <v>546</v>
      </c>
      <c r="F539">
        <f>HYPERLINK("https://www.google.com/maps/search/Scholey St, Off Manchester Rd, Greater Manchester BL2 1HD")</f>
        <v>0</v>
      </c>
      <c r="G539">
        <f>HYPERLINK("tel:0161 872 5050")</f>
        <v>0</v>
      </c>
    </row>
    <row r="540" spans="1:7">
      <c r="A540" t="s">
        <v>538</v>
      </c>
      <c r="B540">
        <f>HYPERLINK("tel:07730 560 019")</f>
        <v>0</v>
      </c>
      <c r="C540" t="s">
        <v>540</v>
      </c>
      <c r="D540">
        <f>HYPERLINK("https://www.policestationreps.com/reps.php?ID=1328&amp;venue=Liverpool Crown Court&amp;pocoone=SFIzIDVBWg==&amp;pocotwo=L2 1XA")</f>
        <v>0</v>
      </c>
      <c r="E540" t="s">
        <v>547</v>
      </c>
      <c r="F540">
        <f>HYPERLINK("https://www.google.com/maps/search/Derby Square, Merseyside L2 1XA")</f>
        <v>0</v>
      </c>
      <c r="G540">
        <f>HYPERLINK("tel:0151 473 7373")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Representatives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2026-01-12T19:51:45Z</dcterms:created>
  <dcterms:modified xsi:type="dcterms:W3CDTF">2026-01-12T19:51:45Z</dcterms:modified>
</cp:coreProperties>
</file>